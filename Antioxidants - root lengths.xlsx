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data for ANOVA tests/"/>
    </mc:Choice>
  </mc:AlternateContent>
  <xr:revisionPtr revIDLastSave="284" documentId="8_{6ED5ED1E-8813-4FDA-ABEB-9E8649F03A29}" xr6:coauthVersionLast="47" xr6:coauthVersionMax="47" xr10:uidLastSave="{228D611D-B475-004F-80AF-8281793ABEC6}"/>
  <bookViews>
    <workbookView xWindow="340" yWindow="1400" windowWidth="27100" windowHeight="14180" activeTab="2" xr2:uid="{7CD48172-691F-4C80-A133-9F8F849E3E35}"/>
  </bookViews>
  <sheets>
    <sheet name="10mM " sheetId="5" r:id="rId1"/>
    <sheet name="2 mM" sheetId="1" r:id="rId2"/>
    <sheet name="1 mM" sheetId="2" r:id="rId3"/>
    <sheet name="original 200uM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" i="5" l="1"/>
  <c r="G36" i="5"/>
  <c r="N29" i="5"/>
  <c r="O29" i="5" s="1"/>
  <c r="AK29" i="5"/>
  <c r="AJ29" i="5"/>
  <c r="T29" i="5"/>
  <c r="S29" i="5"/>
  <c r="AJ30" i="5"/>
  <c r="N30" i="5"/>
  <c r="I30" i="5"/>
  <c r="D30" i="5"/>
  <c r="I29" i="5"/>
  <c r="D29" i="5"/>
  <c r="D34" i="5" s="1"/>
  <c r="F36" i="1"/>
  <c r="D34" i="1"/>
  <c r="K36" i="1"/>
  <c r="L36" i="1"/>
  <c r="AK29" i="1"/>
  <c r="AF29" i="1"/>
  <c r="Y29" i="1"/>
  <c r="T29" i="1"/>
  <c r="O29" i="1"/>
  <c r="J29" i="1"/>
  <c r="E34" i="2"/>
  <c r="J34" i="2"/>
  <c r="I34" i="2"/>
  <c r="H34" i="2"/>
  <c r="G34" i="2"/>
  <c r="F34" i="2"/>
  <c r="K34" i="2"/>
  <c r="D34" i="2"/>
  <c r="C34" i="2"/>
  <c r="AQ26" i="2"/>
  <c r="AL26" i="2"/>
  <c r="AG26" i="2"/>
  <c r="AB26" i="2"/>
  <c r="W26" i="2"/>
  <c r="P26" i="2"/>
  <c r="K26" i="2"/>
  <c r="F26" i="2"/>
  <c r="J26" i="2"/>
  <c r="E26" i="2"/>
  <c r="F97" i="3"/>
  <c r="E97" i="3"/>
  <c r="F86" i="3"/>
  <c r="E86" i="3"/>
  <c r="F75" i="3"/>
  <c r="E75" i="3"/>
  <c r="F65" i="3"/>
  <c r="E65" i="3"/>
  <c r="F54" i="3"/>
  <c r="E54" i="3"/>
  <c r="F43" i="3"/>
  <c r="E43" i="3"/>
  <c r="F32" i="3"/>
  <c r="E32" i="3"/>
  <c r="J21" i="3"/>
  <c r="F21" i="3"/>
  <c r="E21" i="3"/>
  <c r="J20" i="3"/>
  <c r="J19" i="3"/>
  <c r="J18" i="3"/>
  <c r="J17" i="3"/>
  <c r="J16" i="3"/>
  <c r="J15" i="3"/>
  <c r="J14" i="3"/>
  <c r="J13" i="3"/>
  <c r="J12" i="3"/>
  <c r="K12" i="3" s="1"/>
  <c r="K11" i="3"/>
  <c r="J11" i="3"/>
  <c r="F11" i="3"/>
  <c r="E11" i="3"/>
  <c r="J10" i="3"/>
  <c r="K10" i="3" s="1"/>
  <c r="J9" i="3"/>
  <c r="K9" i="3" s="1"/>
  <c r="K8" i="3"/>
  <c r="J8" i="3"/>
  <c r="J7" i="3"/>
  <c r="K7" i="3" s="1"/>
  <c r="K6" i="3"/>
  <c r="J6" i="3"/>
  <c r="J5" i="3"/>
  <c r="K5" i="3" s="1"/>
  <c r="K4" i="3"/>
  <c r="J4" i="3"/>
  <c r="AP27" i="2"/>
  <c r="AP26" i="2"/>
  <c r="AK27" i="2"/>
  <c r="AK26" i="2"/>
  <c r="AF27" i="2"/>
  <c r="AF26" i="2"/>
  <c r="AA27" i="2"/>
  <c r="AA26" i="2"/>
  <c r="V27" i="2"/>
  <c r="V26" i="2"/>
  <c r="O27" i="2"/>
  <c r="O26" i="2"/>
  <c r="J27" i="2"/>
  <c r="E27" i="2"/>
  <c r="AJ30" i="1"/>
  <c r="AJ29" i="1"/>
  <c r="AE30" i="1"/>
  <c r="AE29" i="1"/>
  <c r="X30" i="1"/>
  <c r="X29" i="1"/>
  <c r="S30" i="1"/>
  <c r="N30" i="1"/>
  <c r="I30" i="1"/>
  <c r="D30" i="1"/>
  <c r="S29" i="1"/>
  <c r="N29" i="1"/>
  <c r="I29" i="1"/>
  <c r="D29" i="1"/>
  <c r="S30" i="5" l="1"/>
  <c r="L36" i="5"/>
  <c r="D36" i="5"/>
  <c r="K36" i="5"/>
  <c r="J36" i="5"/>
  <c r="I36" i="5"/>
  <c r="H36" i="5"/>
  <c r="E36" i="5"/>
  <c r="E29" i="5"/>
  <c r="J29" i="5"/>
  <c r="H36" i="1"/>
  <c r="J36" i="1"/>
  <c r="I36" i="1"/>
  <c r="G36" i="1"/>
  <c r="E36" i="1"/>
  <c r="D36" i="1"/>
  <c r="E29" i="1"/>
</calcChain>
</file>

<file path=xl/sharedStrings.xml><?xml version="1.0" encoding="utf-8"?>
<sst xmlns="http://schemas.openxmlformats.org/spreadsheetml/2006/main" count="173" uniqueCount="40">
  <si>
    <t>2 mM</t>
  </si>
  <si>
    <t>1/2 MS</t>
  </si>
  <si>
    <t xml:space="preserve">length </t>
  </si>
  <si>
    <t>20 Aze</t>
  </si>
  <si>
    <t>200 proline</t>
  </si>
  <si>
    <t>2mM Mannitol</t>
  </si>
  <si>
    <t>2mM glutathione</t>
  </si>
  <si>
    <t>2mM NALC</t>
  </si>
  <si>
    <t>2mM Cystein</t>
  </si>
  <si>
    <t>2mM sorbitol</t>
  </si>
  <si>
    <t>2mM Ascorbic</t>
  </si>
  <si>
    <t>Ave</t>
  </si>
  <si>
    <t>std</t>
  </si>
  <si>
    <t>Std</t>
  </si>
  <si>
    <t>20 uM Aze</t>
  </si>
  <si>
    <t>1mM Antioxidants</t>
  </si>
  <si>
    <t>1mM Ascorbic</t>
  </si>
  <si>
    <t>1mM NALC</t>
  </si>
  <si>
    <t>1mM mannitol</t>
  </si>
  <si>
    <t>1mM Cystein</t>
  </si>
  <si>
    <t>1mM glutathione</t>
  </si>
  <si>
    <t>1mM sorbitol</t>
  </si>
  <si>
    <t>1mM Mannitol</t>
  </si>
  <si>
    <t>Plants grown in media containing Aze + Antibiotics</t>
  </si>
  <si>
    <t>0 Aze</t>
  </si>
  <si>
    <t>STD</t>
  </si>
  <si>
    <t>Average</t>
  </si>
  <si>
    <t>area</t>
  </si>
  <si>
    <t>length</t>
  </si>
  <si>
    <t>20 Aze + 200 proline</t>
  </si>
  <si>
    <t>20 Aze + 200 Sorbitol</t>
  </si>
  <si>
    <t>20 Aze + 200 Mannitol</t>
  </si>
  <si>
    <t>20 Aze + 200 Cystein</t>
  </si>
  <si>
    <t>20 Aze + 200 Glutathione</t>
  </si>
  <si>
    <t>20 Aze + 200 L-Ascorbic acid</t>
  </si>
  <si>
    <t>20 Aze + 200 N-Acetyl-L-Cystein</t>
  </si>
  <si>
    <t>n</t>
  </si>
  <si>
    <t>normalized</t>
  </si>
  <si>
    <t>Normalized</t>
  </si>
  <si>
    <t>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</si>
</sst>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'10mM '!$C$34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('10mM '!$D$36,'10mM '!$E$36,'10mM '!$F$36,'10mM '!$K$36,'10mM '!$G$36)</c:f>
                <c:numCache>
                  <c:formatCode>General</c:formatCode>
                  <c:ptCount val="5"/>
                  <c:pt idx="0">
                    <c:v>13.116451587163128</c:v>
                  </c:pt>
                  <c:pt idx="1">
                    <c:v>8.9451583587957249</c:v>
                  </c:pt>
                  <c:pt idx="2">
                    <c:v>18.309181627208318</c:v>
                  </c:pt>
                  <c:pt idx="3">
                    <c:v>8.7432807715116034</c:v>
                  </c:pt>
                  <c:pt idx="4">
                    <c:v>7.6306012640317054</c:v>
                  </c:pt>
                </c:numCache>
              </c:numRef>
            </c:plus>
            <c:minus>
              <c:numRef>
                <c:f>('10mM '!$D$36,'10mM '!$E$36,'10mM '!$F$36,'10mM '!$K$36,'10mM '!$G$36)</c:f>
                <c:numCache>
                  <c:formatCode>General</c:formatCode>
                  <c:ptCount val="5"/>
                  <c:pt idx="0">
                    <c:v>13.116451587163128</c:v>
                  </c:pt>
                  <c:pt idx="1">
                    <c:v>8.9451583587957249</c:v>
                  </c:pt>
                  <c:pt idx="2">
                    <c:v>18.309181627208318</c:v>
                  </c:pt>
                  <c:pt idx="3">
                    <c:v>8.7432807715116034</c:v>
                  </c:pt>
                  <c:pt idx="4">
                    <c:v>7.6306012640317054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'10mM '!$D$33:$L$33</c:f>
              <c:strCache>
                <c:ptCount val="9"/>
                <c:pt idx="0">
                  <c:v>1/2 MS</c:v>
                </c:pt>
                <c:pt idx="1">
                  <c:v>20 Aze</c:v>
                </c:pt>
                <c:pt idx="2">
                  <c:v>200 proline</c:v>
                </c:pt>
                <c:pt idx="3">
                  <c:v>2mM Mannitol</c:v>
                </c:pt>
                <c:pt idx="4">
                  <c:v>2mM glutathione</c:v>
                </c:pt>
                <c:pt idx="5">
                  <c:v>2mM NALC</c:v>
                </c:pt>
                <c:pt idx="6">
                  <c:v>2mM Cystein</c:v>
                </c:pt>
                <c:pt idx="7">
                  <c:v>2mM sorbitol</c:v>
                </c:pt>
                <c:pt idx="8">
                  <c:v>2mM Ascorbic</c:v>
                </c:pt>
              </c:strCache>
            </c:strRef>
          </c:cat>
          <c:val>
            <c:numRef>
              <c:f>('10mM '!$E$29,'10mM '!$J$29,'10mM '!$O$29,'10mM '!$AK$29,'10mM '!$T$29,'10mM '!$AF$29,'10mM '!$Y$29,'10mM '!$AO$29,'10mM '!$AA$29)</c:f>
              <c:numCache>
                <c:formatCode>General</c:formatCode>
                <c:ptCount val="9"/>
                <c:pt idx="0">
                  <c:v>100</c:v>
                </c:pt>
                <c:pt idx="1">
                  <c:v>13.129195965386719</c:v>
                </c:pt>
                <c:pt idx="2">
                  <c:v>106.09228515906078</c:v>
                </c:pt>
                <c:pt idx="3">
                  <c:v>17.615757293083988</c:v>
                </c:pt>
                <c:pt idx="4">
                  <c:v>11.212114536925718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B-F045-9BAA-3B7B0F310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367632"/>
        <c:axId val="1337625456"/>
      </c:barChart>
      <c:catAx>
        <c:axId val="135836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25456"/>
        <c:crosses val="autoZero"/>
        <c:auto val="1"/>
        <c:lblAlgn val="ctr"/>
        <c:lblOffset val="100"/>
        <c:noMultiLvlLbl val="0"/>
      </c:catAx>
      <c:valAx>
        <c:axId val="1337625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836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mM'!$C$34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('2 mM'!$D$36,'2 mM'!$E$36,'2 mM'!$F$36,'2 mM'!$K$36,'2 mM'!$G$36,'2 mM'!$J$36,'2 mM'!$H$36,'2 mM'!$L$36,'2 mM'!$I$36)</c:f>
                <c:numCache>
                  <c:formatCode>General</c:formatCode>
                  <c:ptCount val="9"/>
                  <c:pt idx="0">
                    <c:v>13.116451587163128</c:v>
                  </c:pt>
                  <c:pt idx="1">
                    <c:v>8.9451583587957249</c:v>
                  </c:pt>
                  <c:pt idx="2">
                    <c:v>29.722071329733939</c:v>
                  </c:pt>
                  <c:pt idx="3">
                    <c:v>8.7432807715116034</c:v>
                  </c:pt>
                  <c:pt idx="4">
                    <c:v>7.6306012640317054</c:v>
                  </c:pt>
                  <c:pt idx="5">
                    <c:v>3.0515220979519788</c:v>
                  </c:pt>
                  <c:pt idx="6">
                    <c:v>6.7807507269724345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plus>
            <c:minus>
              <c:numRef>
                <c:f>('2 mM'!$D$36,'2 mM'!$E$36,'2 mM'!$F$36,'2 mM'!$K$36,'2 mM'!$G$36,'2 mM'!$J$36,'2 mM'!$H$36,'2 mM'!$L$36,'2 mM'!$I$36)</c:f>
                <c:numCache>
                  <c:formatCode>General</c:formatCode>
                  <c:ptCount val="9"/>
                  <c:pt idx="0">
                    <c:v>13.116451587163128</c:v>
                  </c:pt>
                  <c:pt idx="1">
                    <c:v>8.9451583587957249</c:v>
                  </c:pt>
                  <c:pt idx="2">
                    <c:v>29.722071329733939</c:v>
                  </c:pt>
                  <c:pt idx="3">
                    <c:v>8.7432807715116034</c:v>
                  </c:pt>
                  <c:pt idx="4">
                    <c:v>7.6306012640317054</c:v>
                  </c:pt>
                  <c:pt idx="5">
                    <c:v>3.0515220979519788</c:v>
                  </c:pt>
                  <c:pt idx="6">
                    <c:v>6.7807507269724345</c:v>
                  </c:pt>
                  <c:pt idx="7">
                    <c:v>0</c:v>
                  </c:pt>
                  <c:pt idx="8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'2 mM'!$D$33:$L$33</c:f>
              <c:strCache>
                <c:ptCount val="9"/>
                <c:pt idx="0">
                  <c:v>1/2 MS</c:v>
                </c:pt>
                <c:pt idx="1">
                  <c:v>20 Aze</c:v>
                </c:pt>
                <c:pt idx="2">
                  <c:v>200 proline</c:v>
                </c:pt>
                <c:pt idx="3">
                  <c:v>2mM Mannitol</c:v>
                </c:pt>
                <c:pt idx="4">
                  <c:v>2mM glutathione</c:v>
                </c:pt>
                <c:pt idx="5">
                  <c:v>2mM NALC</c:v>
                </c:pt>
                <c:pt idx="6">
                  <c:v>2mM Cystein</c:v>
                </c:pt>
                <c:pt idx="7">
                  <c:v>2mM sorbitol</c:v>
                </c:pt>
                <c:pt idx="8">
                  <c:v>2mM Ascorbic</c:v>
                </c:pt>
              </c:strCache>
            </c:strRef>
          </c:cat>
          <c:val>
            <c:numRef>
              <c:f>('2 mM'!$E$29,'2 mM'!$J$29,'2 mM'!$O$29,'2 mM'!$AK$29,'2 mM'!$T$29,'2 mM'!$AF$29,'2 mM'!$Y$29,'2 mM'!$AO$29,'2 mM'!$AA$29)</c:f>
              <c:numCache>
                <c:formatCode>General</c:formatCode>
                <c:ptCount val="9"/>
                <c:pt idx="0">
                  <c:v>100</c:v>
                </c:pt>
                <c:pt idx="1">
                  <c:v>13.129195965386719</c:v>
                </c:pt>
                <c:pt idx="2">
                  <c:v>103.01104238180396</c:v>
                </c:pt>
                <c:pt idx="3">
                  <c:v>11.986787723972608</c:v>
                </c:pt>
                <c:pt idx="4">
                  <c:v>10.455232716416935</c:v>
                </c:pt>
                <c:pt idx="5">
                  <c:v>12.47588791917183</c:v>
                </c:pt>
                <c:pt idx="6">
                  <c:v>9.2530158440888552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5-42B4-A911-73D0885E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367632"/>
        <c:axId val="1337625456"/>
      </c:barChart>
      <c:catAx>
        <c:axId val="135836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25456"/>
        <c:crosses val="autoZero"/>
        <c:auto val="1"/>
        <c:lblAlgn val="ctr"/>
        <c:lblOffset val="100"/>
        <c:noMultiLvlLbl val="0"/>
      </c:catAx>
      <c:valAx>
        <c:axId val="1337625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5836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 mM'!$V$38:$AD$38</c:f>
              <c:strCache>
                <c:ptCount val="9"/>
                <c:pt idx="0">
                  <c:v>1/2 MS</c:v>
                </c:pt>
                <c:pt idx="1">
                  <c:v>20 Aze</c:v>
                </c:pt>
                <c:pt idx="2">
                  <c:v>200 proline</c:v>
                </c:pt>
                <c:pt idx="3">
                  <c:v>1mM sorbitol</c:v>
                </c:pt>
                <c:pt idx="4">
                  <c:v>1mM Mannitol</c:v>
                </c:pt>
                <c:pt idx="5">
                  <c:v>1mM Cystein</c:v>
                </c:pt>
                <c:pt idx="6">
                  <c:v>1mM glutathione</c:v>
                </c:pt>
                <c:pt idx="7">
                  <c:v>1mM Ascorbic</c:v>
                </c:pt>
                <c:pt idx="8">
                  <c:v>1mM NALC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('1 mM'!$C$34,'1 mM'!$D$34,'1 mM'!$E$34,'1 mM'!$J$34,'1 mM'!$F$34,'1 mM'!$I$34,'1 mM'!$G$34,'1 mM'!$K$34,'1 mM'!$H$34)</c:f>
                <c:numCache>
                  <c:formatCode>General</c:formatCode>
                  <c:ptCount val="9"/>
                  <c:pt idx="0">
                    <c:v>13.148105502539787</c:v>
                  </c:pt>
                  <c:pt idx="1">
                    <c:v>3.1530945267262647</c:v>
                  </c:pt>
                  <c:pt idx="2">
                    <c:v>13.619726264823056</c:v>
                  </c:pt>
                  <c:pt idx="3">
                    <c:v>5.8654863066525911</c:v>
                  </c:pt>
                  <c:pt idx="4">
                    <c:v>6.8130310716043807</c:v>
                  </c:pt>
                  <c:pt idx="5">
                    <c:v>4.7992120199318729</c:v>
                  </c:pt>
                  <c:pt idx="6">
                    <c:v>5.2064235054767201</c:v>
                  </c:pt>
                  <c:pt idx="7">
                    <c:v>0</c:v>
                  </c:pt>
                  <c:pt idx="8">
                    <c:v>1.9099282557200108</c:v>
                  </c:pt>
                </c:numCache>
              </c:numRef>
            </c:plus>
            <c:minus>
              <c:numRef>
                <c:f>('1 mM'!$C$34,'1 mM'!$D$34,'1 mM'!$E$34,'1 mM'!$J$34,'1 mM'!$F$34,'1 mM'!$I$34,'1 mM'!$G$34,'1 mM'!$K$34,'1 mM'!$H$34)</c:f>
                <c:numCache>
                  <c:formatCode>General</c:formatCode>
                  <c:ptCount val="9"/>
                  <c:pt idx="0">
                    <c:v>13.148105502539787</c:v>
                  </c:pt>
                  <c:pt idx="1">
                    <c:v>3.1530945267262647</c:v>
                  </c:pt>
                  <c:pt idx="2">
                    <c:v>13.619726264823056</c:v>
                  </c:pt>
                  <c:pt idx="3">
                    <c:v>5.8654863066525911</c:v>
                  </c:pt>
                  <c:pt idx="4">
                    <c:v>6.8130310716043807</c:v>
                  </c:pt>
                  <c:pt idx="5">
                    <c:v>4.7992120199318729</c:v>
                  </c:pt>
                  <c:pt idx="6">
                    <c:v>5.2064235054767201</c:v>
                  </c:pt>
                  <c:pt idx="7">
                    <c:v>0</c:v>
                  </c:pt>
                  <c:pt idx="8">
                    <c:v>1.9099282557200108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'1 mM'!$C$31:$K$31</c:f>
              <c:strCache>
                <c:ptCount val="9"/>
                <c:pt idx="0">
                  <c:v>1/2 MS</c:v>
                </c:pt>
                <c:pt idx="1">
                  <c:v>20 Aze</c:v>
                </c:pt>
                <c:pt idx="2">
                  <c:v>200 proline</c:v>
                </c:pt>
                <c:pt idx="3">
                  <c:v>1mM Mannitol</c:v>
                </c:pt>
                <c:pt idx="4">
                  <c:v>1mM glutathione</c:v>
                </c:pt>
                <c:pt idx="5">
                  <c:v>1mM NALC</c:v>
                </c:pt>
                <c:pt idx="6">
                  <c:v>1mM Cystein</c:v>
                </c:pt>
                <c:pt idx="7">
                  <c:v>1mM sorbitol</c:v>
                </c:pt>
                <c:pt idx="8">
                  <c:v>1mM Ascorbic</c:v>
                </c:pt>
              </c:strCache>
            </c:strRef>
          </c:cat>
          <c:val>
            <c:numRef>
              <c:f>('1 mM'!$F$26,'1 mM'!$K$26,'1 mM'!$P$26,'1 mM'!$AQ$26,'1 mM'!$AB$26,'1 mM'!$AG$26,'1 mM'!$AL$26,'1 mM'!$R$26,'1 mM'!$W$26)</c:f>
              <c:numCache>
                <c:formatCode>General</c:formatCode>
                <c:ptCount val="9"/>
                <c:pt idx="0">
                  <c:v>100</c:v>
                </c:pt>
                <c:pt idx="1">
                  <c:v>7.8139196311823467</c:v>
                </c:pt>
                <c:pt idx="2">
                  <c:v>104.17184530148418</c:v>
                </c:pt>
                <c:pt idx="3">
                  <c:v>10.563109901435395</c:v>
                </c:pt>
                <c:pt idx="4">
                  <c:v>11.649655091279184</c:v>
                </c:pt>
                <c:pt idx="5">
                  <c:v>10.609573621988861</c:v>
                </c:pt>
                <c:pt idx="6">
                  <c:v>9.4164431203914649</c:v>
                </c:pt>
                <c:pt idx="7">
                  <c:v>0</c:v>
                </c:pt>
                <c:pt idx="8">
                  <c:v>5.2728268962843075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8-4451-83DE-A30068C67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285567"/>
        <c:axId val="1456337263"/>
      </c:barChart>
      <c:catAx>
        <c:axId val="1479285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37263"/>
        <c:crosses val="autoZero"/>
        <c:auto val="1"/>
        <c:lblAlgn val="ctr"/>
        <c:lblOffset val="100"/>
        <c:noMultiLvlLbl val="0"/>
      </c:catAx>
      <c:valAx>
        <c:axId val="1456337263"/>
        <c:scaling>
          <c:orientation val="minMax"/>
          <c:max val="1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928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[1]Sheet1!$K$4:$K$12</c:f>
                <c:numCache>
                  <c:formatCode>General</c:formatCode>
                  <c:ptCount val="9"/>
                  <c:pt idx="0">
                    <c:v>15.572617546703599</c:v>
                  </c:pt>
                  <c:pt idx="1">
                    <c:v>5.6043635800070533</c:v>
                  </c:pt>
                  <c:pt idx="2">
                    <c:v>8.8583892469017567</c:v>
                  </c:pt>
                  <c:pt idx="3">
                    <c:v>3.9270402454449544</c:v>
                  </c:pt>
                  <c:pt idx="4">
                    <c:v>2.3643352130007567</c:v>
                  </c:pt>
                  <c:pt idx="5">
                    <c:v>4.5855512398900169</c:v>
                  </c:pt>
                  <c:pt idx="6">
                    <c:v>5.2019302753898335</c:v>
                  </c:pt>
                  <c:pt idx="7">
                    <c:v>4.2352915511150471</c:v>
                  </c:pt>
                  <c:pt idx="8">
                    <c:v>4.315450959552587</c:v>
                  </c:pt>
                </c:numCache>
              </c:numRef>
            </c:plus>
            <c:minus>
              <c:numRef>
                <c:f>[1]Sheet1!$K$4:$K$12</c:f>
                <c:numCache>
                  <c:formatCode>General</c:formatCode>
                  <c:ptCount val="9"/>
                  <c:pt idx="0">
                    <c:v>15.572617546703599</c:v>
                  </c:pt>
                  <c:pt idx="1">
                    <c:v>5.6043635800070533</c:v>
                  </c:pt>
                  <c:pt idx="2">
                    <c:v>8.8583892469017567</c:v>
                  </c:pt>
                  <c:pt idx="3">
                    <c:v>3.9270402454449544</c:v>
                  </c:pt>
                  <c:pt idx="4">
                    <c:v>2.3643352130007567</c:v>
                  </c:pt>
                  <c:pt idx="5">
                    <c:v>4.5855512398900169</c:v>
                  </c:pt>
                  <c:pt idx="6">
                    <c:v>5.2019302753898335</c:v>
                  </c:pt>
                  <c:pt idx="7">
                    <c:v>4.2352915511150471</c:v>
                  </c:pt>
                  <c:pt idx="8">
                    <c:v>4.315450959552587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[1]Sheet1!$G$4:$G$12</c:f>
              <c:strCache>
                <c:ptCount val="9"/>
                <c:pt idx="0">
                  <c:v>0 Aze</c:v>
                </c:pt>
                <c:pt idx="1">
                  <c:v>20 Aze</c:v>
                </c:pt>
                <c:pt idx="2">
                  <c:v>20 Aze + 200 proline</c:v>
                </c:pt>
                <c:pt idx="3">
                  <c:v>20 Aze + 200 Sorbitol</c:v>
                </c:pt>
                <c:pt idx="4">
                  <c:v>20 Aze + 200 Mannitol</c:v>
                </c:pt>
                <c:pt idx="5">
                  <c:v>20 Aze + 200 Cystein</c:v>
                </c:pt>
                <c:pt idx="6">
                  <c:v>20 Aze + 200 Glutathione</c:v>
                </c:pt>
                <c:pt idx="7">
                  <c:v>20 Aze + 200 L-Ascorbic acid</c:v>
                </c:pt>
                <c:pt idx="8">
                  <c:v>20 Aze + 200 N-Acetyl-L-Cystein</c:v>
                </c:pt>
              </c:strCache>
            </c:strRef>
          </c:cat>
          <c:val>
            <c:numRef>
              <c:f>[1]Sheet1!$J$4:$J$12</c:f>
              <c:numCache>
                <c:formatCode>General</c:formatCode>
                <c:ptCount val="9"/>
                <c:pt idx="0">
                  <c:v>100</c:v>
                </c:pt>
                <c:pt idx="1">
                  <c:v>12.204684479097338</c:v>
                </c:pt>
                <c:pt idx="2">
                  <c:v>98.91540680168616</c:v>
                </c:pt>
                <c:pt idx="3">
                  <c:v>10.496092745783724</c:v>
                </c:pt>
                <c:pt idx="4">
                  <c:v>6.6361693061322242</c:v>
                </c:pt>
                <c:pt idx="5">
                  <c:v>14.142534661694119</c:v>
                </c:pt>
                <c:pt idx="6">
                  <c:v>11.389892554911098</c:v>
                </c:pt>
                <c:pt idx="7">
                  <c:v>16.451882137914279</c:v>
                </c:pt>
                <c:pt idx="8">
                  <c:v>9.3103581855126993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4-FE44-A3D1-1D2959C6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577311"/>
        <c:axId val="1479253903"/>
      </c:barChart>
      <c:catAx>
        <c:axId val="142957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53903"/>
        <c:crosses val="autoZero"/>
        <c:auto val="1"/>
        <c:lblAlgn val="ctr"/>
        <c:lblOffset val="100"/>
        <c:noMultiLvlLbl val="0"/>
      </c:catAx>
      <c:valAx>
        <c:axId val="1479253903"/>
        <c:scaling>
          <c:orientation val="minMax"/>
          <c:max val="1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957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327752</xdr:colOff>
      <xdr:row>28</xdr:row>
      <xdr:rowOff>0</xdr:rowOff>
    </xdr:from>
    <xdr:to>
      <xdr:col>24</xdr:col>
      <xdr:colOff>347010</xdr:colOff>
      <xdr:row>49</xdr:row>
      <xdr:rowOff>13045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82465-624E-2A4D-B191-2F4E4AB54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289652</xdr:colOff>
      <xdr:row>31</xdr:row>
      <xdr:rowOff>152210</xdr:rowOff>
    </xdr:from>
    <xdr:to>
      <xdr:col>28</xdr:col>
      <xdr:colOff>308910</xdr:colOff>
      <xdr:row>56</xdr:row>
      <xdr:rowOff>63845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1425F7-D672-8353-F2C1-DA85AC047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48134</xdr:colOff>
      <xdr:row>26</xdr:row>
      <xdr:rowOff>133691</xdr:rowOff>
    </xdr:from>
    <xdr:to>
      <xdr:col>25</xdr:col>
      <xdr:colOff>216583</xdr:colOff>
      <xdr:row>48</xdr:row>
      <xdr:rowOff>187050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E527D-2D5C-F461-065E-429BF5363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387684</xdr:colOff>
      <xdr:row>14</xdr:row>
      <xdr:rowOff>33589</xdr:rowOff>
    </xdr:from>
    <xdr:to>
      <xdr:col>17</xdr:col>
      <xdr:colOff>387684</xdr:colOff>
      <xdr:row>35</xdr:row>
      <xdr:rowOff>26738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21D66-6E8B-C940-87C6-79377B73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excel%20sheets%20form%20asha/antioxidants%20test.xlsx" TargetMode="External"/><Relationship Id="rId2" Type="http://schemas.openxmlformats.org/officeDocument/2006/relationships/externalLinkPath" Target="https://mailmissouri-my.sharepoint.com/personal/cas28y_umsystem_edu/Documents/Writing/Papers/Aze%20phentypic%20response_Asha/new%20excel%20sheets%20form%20asha/antioxidants%20test.xlsx" TargetMode="External"/><Relationship Id="rId1" Type="http://schemas.openxmlformats.org/officeDocument/2006/relationships/externalLinkPath" Target="/personal/cas28y_umsystem_edu/Documents/Writing/Papers/Aze%20phentypic%20response_Asha/new%20excel%20sheets%20form%20asha/antioxidants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4">
          <cell r="G4" t="str">
            <v>0 Aze</v>
          </cell>
          <cell r="J4">
            <v>100</v>
          </cell>
          <cell r="K4">
            <v>15.572617546703599</v>
          </cell>
        </row>
        <row r="5">
          <cell r="G5" t="str">
            <v>20 Aze</v>
          </cell>
          <cell r="J5">
            <v>12.204684479097338</v>
          </cell>
          <cell r="K5">
            <v>5.6043635800070533</v>
          </cell>
        </row>
        <row r="6">
          <cell r="G6" t="str">
            <v>20 Aze + 200 proline</v>
          </cell>
          <cell r="J6">
            <v>98.91540680168616</v>
          </cell>
          <cell r="K6">
            <v>8.8583892469017567</v>
          </cell>
        </row>
        <row r="7">
          <cell r="G7" t="str">
            <v>20 Aze + 200 Sorbitol</v>
          </cell>
          <cell r="J7">
            <v>10.496092745783724</v>
          </cell>
          <cell r="K7">
            <v>3.9270402454449544</v>
          </cell>
        </row>
        <row r="8">
          <cell r="G8" t="str">
            <v>20 Aze + 200 Mannitol</v>
          </cell>
          <cell r="J8">
            <v>6.6361693061322242</v>
          </cell>
          <cell r="K8">
            <v>2.3643352130007567</v>
          </cell>
        </row>
        <row r="9">
          <cell r="G9" t="str">
            <v>20 Aze + 200 Cystein</v>
          </cell>
          <cell r="J9">
            <v>14.142534661694119</v>
          </cell>
          <cell r="K9">
            <v>4.5855512398900169</v>
          </cell>
        </row>
        <row r="10">
          <cell r="G10" t="str">
            <v>20 Aze + 200 Glutathione</v>
          </cell>
          <cell r="J10">
            <v>11.389892554911098</v>
          </cell>
          <cell r="K10">
            <v>5.2019302753898335</v>
          </cell>
        </row>
        <row r="11">
          <cell r="G11" t="str">
            <v>20 Aze + 200 L-Ascorbic acid</v>
          </cell>
          <cell r="J11">
            <v>16.451882137914279</v>
          </cell>
          <cell r="K11">
            <v>4.2352915511150471</v>
          </cell>
        </row>
        <row r="12">
          <cell r="G12" t="str">
            <v>20 Aze + 200 N-Acetyl-L-Cystein</v>
          </cell>
          <cell r="J12">
            <v>9.3103581855126993</v>
          </cell>
          <cell r="K12">
            <v>4.315450959552587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7608-02E7-6145-8340-D6AD6BAE0FFE}">
  <dimension ref="A2:AO36"/>
  <sheetViews>
    <sheetView topLeftCell="A7" zoomScaleNormal="100" workbookViewId="0">
      <selection activeCell="F35" sqref="F35"/>
    </sheetView>
  </sheetViews>
  <sheetFormatPr baseColWidth="10" defaultColWidth="8.83203125" defaultRowHeight="15" x14ac:dyDescent="0.2"/>
  <sheetData>
    <row r="2" spans="1:38" x14ac:dyDescent="0.2">
      <c r="A2" s="1" t="s">
        <v>39</v>
      </c>
    </row>
    <row r="3" spans="1:38" x14ac:dyDescent="0.2">
      <c r="K3" t="s">
        <v>3</v>
      </c>
      <c r="P3" t="s">
        <v>3</v>
      </c>
      <c r="U3" t="s">
        <v>3</v>
      </c>
      <c r="Z3" t="s">
        <v>3</v>
      </c>
      <c r="AB3" t="s">
        <v>3</v>
      </c>
      <c r="AG3" t="s">
        <v>3</v>
      </c>
      <c r="AL3" t="s">
        <v>3</v>
      </c>
    </row>
    <row r="4" spans="1:38" x14ac:dyDescent="0.2">
      <c r="A4" t="s">
        <v>1</v>
      </c>
      <c r="F4" t="s">
        <v>3</v>
      </c>
      <c r="K4" t="s">
        <v>4</v>
      </c>
      <c r="P4" t="s">
        <v>5</v>
      </c>
      <c r="U4" t="s">
        <v>6</v>
      </c>
      <c r="Z4" t="s">
        <v>7</v>
      </c>
      <c r="AB4" t="s">
        <v>8</v>
      </c>
      <c r="AG4" t="s">
        <v>9</v>
      </c>
      <c r="AL4" t="s">
        <v>10</v>
      </c>
    </row>
    <row r="5" spans="1:38" x14ac:dyDescent="0.2">
      <c r="D5" t="s">
        <v>2</v>
      </c>
    </row>
    <row r="6" spans="1:38" x14ac:dyDescent="0.2">
      <c r="A6">
        <v>1</v>
      </c>
      <c r="B6">
        <v>1.131</v>
      </c>
      <c r="C6">
        <v>24.338999999999999</v>
      </c>
      <c r="D6">
        <v>30.526</v>
      </c>
      <c r="F6">
        <v>1</v>
      </c>
      <c r="G6">
        <v>0.2</v>
      </c>
      <c r="H6">
        <v>34.399000000000001</v>
      </c>
      <c r="I6">
        <v>5.1559999999999997</v>
      </c>
      <c r="K6">
        <v>1</v>
      </c>
      <c r="L6">
        <v>1.746</v>
      </c>
      <c r="M6">
        <v>24.988</v>
      </c>
      <c r="N6">
        <v>45.973999999999997</v>
      </c>
      <c r="P6">
        <v>1</v>
      </c>
      <c r="Q6">
        <v>0.10100000000000001</v>
      </c>
      <c r="R6">
        <v>24.762</v>
      </c>
      <c r="S6">
        <v>2.6059999999999999</v>
      </c>
      <c r="AG6">
        <v>1</v>
      </c>
      <c r="AH6">
        <v>8.3000000000000004E-2</v>
      </c>
      <c r="AI6">
        <v>31.241</v>
      </c>
      <c r="AJ6">
        <v>1.8420000000000001</v>
      </c>
    </row>
    <row r="7" spans="1:38" x14ac:dyDescent="0.2">
      <c r="A7">
        <v>2</v>
      </c>
      <c r="B7">
        <v>0.871</v>
      </c>
      <c r="C7">
        <v>17.75</v>
      </c>
      <c r="D7">
        <v>23.047000000000001</v>
      </c>
      <c r="F7">
        <v>2</v>
      </c>
      <c r="G7">
        <v>6.2E-2</v>
      </c>
      <c r="H7">
        <v>36.19</v>
      </c>
      <c r="I7">
        <v>1.496</v>
      </c>
      <c r="K7">
        <v>2</v>
      </c>
      <c r="L7">
        <v>1.1779999999999999</v>
      </c>
      <c r="M7">
        <v>34.173000000000002</v>
      </c>
      <c r="N7">
        <v>30.792999999999999</v>
      </c>
      <c r="P7">
        <v>2</v>
      </c>
      <c r="Q7">
        <v>0.107</v>
      </c>
      <c r="R7">
        <v>37.860999999999997</v>
      </c>
      <c r="S7">
        <v>2.3820000000000001</v>
      </c>
      <c r="AG7">
        <v>2</v>
      </c>
      <c r="AH7">
        <v>0.39600000000000002</v>
      </c>
      <c r="AI7">
        <v>31.231000000000002</v>
      </c>
      <c r="AJ7">
        <v>9.593</v>
      </c>
    </row>
    <row r="8" spans="1:38" x14ac:dyDescent="0.2">
      <c r="A8">
        <v>3</v>
      </c>
      <c r="B8">
        <v>1.024</v>
      </c>
      <c r="C8">
        <v>31.783000000000001</v>
      </c>
      <c r="D8">
        <v>26.981000000000002</v>
      </c>
      <c r="F8">
        <v>3</v>
      </c>
      <c r="G8">
        <v>8.5999999999999993E-2</v>
      </c>
      <c r="H8">
        <v>31.695</v>
      </c>
      <c r="I8">
        <v>1.8280000000000001</v>
      </c>
      <c r="K8">
        <v>3</v>
      </c>
      <c r="L8">
        <v>0.997</v>
      </c>
      <c r="M8">
        <v>23.908000000000001</v>
      </c>
      <c r="N8">
        <v>26.321000000000002</v>
      </c>
      <c r="P8">
        <v>3</v>
      </c>
      <c r="Q8">
        <v>8.6999999999999994E-2</v>
      </c>
      <c r="R8">
        <v>38.381999999999998</v>
      </c>
      <c r="S8">
        <v>2.319</v>
      </c>
      <c r="AG8">
        <v>3</v>
      </c>
      <c r="AH8">
        <v>0.47599999999999998</v>
      </c>
      <c r="AI8">
        <v>36.252000000000002</v>
      </c>
      <c r="AJ8">
        <v>11.959</v>
      </c>
    </row>
    <row r="9" spans="1:38" x14ac:dyDescent="0.2">
      <c r="A9">
        <v>4</v>
      </c>
      <c r="B9">
        <v>0.97299999999999998</v>
      </c>
      <c r="C9">
        <v>28.475999999999999</v>
      </c>
      <c r="D9">
        <v>35.707000000000001</v>
      </c>
      <c r="F9">
        <v>4</v>
      </c>
      <c r="G9">
        <v>0.30499999999999999</v>
      </c>
      <c r="H9">
        <v>40.905000000000001</v>
      </c>
      <c r="I9">
        <v>7.3330000000000002</v>
      </c>
      <c r="K9">
        <v>4</v>
      </c>
      <c r="L9">
        <v>1.407</v>
      </c>
      <c r="M9">
        <v>29.349</v>
      </c>
      <c r="N9">
        <v>37.290999999999997</v>
      </c>
      <c r="P9">
        <v>4</v>
      </c>
      <c r="Q9">
        <v>9.7000000000000003E-2</v>
      </c>
      <c r="R9">
        <v>39.795999999999999</v>
      </c>
      <c r="S9">
        <v>2.2410000000000001</v>
      </c>
      <c r="AG9">
        <v>4</v>
      </c>
      <c r="AH9">
        <v>9.5000000000000001E-2</v>
      </c>
      <c r="AI9">
        <v>27.579000000000001</v>
      </c>
      <c r="AJ9">
        <v>2.2869999999999999</v>
      </c>
    </row>
    <row r="10" spans="1:38" x14ac:dyDescent="0.2">
      <c r="A10">
        <v>5</v>
      </c>
      <c r="B10">
        <v>0.96599999999999997</v>
      </c>
      <c r="C10">
        <v>23.626000000000001</v>
      </c>
      <c r="D10">
        <v>25.725000000000001</v>
      </c>
      <c r="F10">
        <v>5</v>
      </c>
      <c r="G10">
        <v>0.27900000000000003</v>
      </c>
      <c r="H10">
        <v>42.255000000000003</v>
      </c>
      <c r="I10">
        <v>6.45</v>
      </c>
      <c r="K10">
        <v>5</v>
      </c>
      <c r="L10">
        <v>1.0840000000000001</v>
      </c>
      <c r="M10">
        <v>30.460999999999999</v>
      </c>
      <c r="N10">
        <v>28.844000000000001</v>
      </c>
      <c r="P10">
        <v>5</v>
      </c>
      <c r="Q10">
        <v>0.20200000000000001</v>
      </c>
      <c r="R10">
        <v>38.268999999999998</v>
      </c>
      <c r="S10">
        <v>4.7699999999999996</v>
      </c>
      <c r="AG10">
        <v>5</v>
      </c>
      <c r="AH10">
        <v>0.40200000000000002</v>
      </c>
      <c r="AI10">
        <v>41.344000000000001</v>
      </c>
      <c r="AJ10">
        <v>9.782</v>
      </c>
    </row>
    <row r="11" spans="1:38" x14ac:dyDescent="0.2">
      <c r="A11">
        <v>6</v>
      </c>
      <c r="B11">
        <v>1.2</v>
      </c>
      <c r="C11">
        <v>28.611999999999998</v>
      </c>
      <c r="D11">
        <v>30.956</v>
      </c>
      <c r="F11">
        <v>6</v>
      </c>
      <c r="G11">
        <v>0.16900000000000001</v>
      </c>
      <c r="H11">
        <v>32.174999999999997</v>
      </c>
      <c r="I11">
        <v>4.3040000000000003</v>
      </c>
      <c r="K11">
        <v>6</v>
      </c>
      <c r="L11">
        <v>1.34</v>
      </c>
      <c r="M11">
        <v>30.614000000000001</v>
      </c>
      <c r="N11">
        <v>34.835999999999999</v>
      </c>
      <c r="P11">
        <v>6</v>
      </c>
      <c r="Q11">
        <v>0.188</v>
      </c>
      <c r="R11">
        <v>39.673999999999999</v>
      </c>
      <c r="S11">
        <v>4.548</v>
      </c>
      <c r="AG11">
        <v>6</v>
      </c>
      <c r="AH11">
        <v>0.14199999999999999</v>
      </c>
      <c r="AI11">
        <v>34.914999999999999</v>
      </c>
      <c r="AJ11">
        <v>3.556</v>
      </c>
    </row>
    <row r="12" spans="1:38" x14ac:dyDescent="0.2">
      <c r="A12">
        <v>7</v>
      </c>
      <c r="B12">
        <v>1.0880000000000001</v>
      </c>
      <c r="C12">
        <v>31.39</v>
      </c>
      <c r="D12">
        <v>28.713999999999999</v>
      </c>
      <c r="F12">
        <v>7</v>
      </c>
      <c r="G12">
        <v>0.372</v>
      </c>
      <c r="H12">
        <v>31.46</v>
      </c>
      <c r="I12">
        <v>9.4220000000000006</v>
      </c>
      <c r="K12">
        <v>7</v>
      </c>
      <c r="L12">
        <v>1.0049999999999999</v>
      </c>
      <c r="M12">
        <v>28.631</v>
      </c>
      <c r="N12">
        <v>26.777999999999999</v>
      </c>
      <c r="P12">
        <v>7</v>
      </c>
      <c r="Q12">
        <v>8.6999999999999994E-2</v>
      </c>
      <c r="R12">
        <v>28.952999999999999</v>
      </c>
      <c r="S12">
        <v>2.359</v>
      </c>
      <c r="AG12">
        <v>7</v>
      </c>
      <c r="AH12">
        <v>0.1</v>
      </c>
      <c r="AI12">
        <v>38.451000000000001</v>
      </c>
      <c r="AJ12">
        <v>2.161</v>
      </c>
    </row>
    <row r="13" spans="1:38" x14ac:dyDescent="0.2">
      <c r="A13">
        <v>8</v>
      </c>
      <c r="B13">
        <v>1.1879999999999999</v>
      </c>
      <c r="C13">
        <v>29.024000000000001</v>
      </c>
      <c r="D13">
        <v>31.795000000000002</v>
      </c>
      <c r="F13">
        <v>8</v>
      </c>
      <c r="G13">
        <v>0.115</v>
      </c>
      <c r="H13">
        <v>34.357999999999997</v>
      </c>
      <c r="I13">
        <v>2.56</v>
      </c>
      <c r="K13">
        <v>8</v>
      </c>
      <c r="L13">
        <v>1.3029999999999999</v>
      </c>
      <c r="M13">
        <v>27.09</v>
      </c>
      <c r="N13">
        <v>34.338000000000001</v>
      </c>
      <c r="P13">
        <v>8</v>
      </c>
      <c r="Q13">
        <v>0.23200000000000001</v>
      </c>
      <c r="R13">
        <v>37.713000000000001</v>
      </c>
      <c r="S13">
        <v>5.6950000000000003</v>
      </c>
      <c r="AG13">
        <v>8</v>
      </c>
      <c r="AH13">
        <v>9.9000000000000005E-2</v>
      </c>
      <c r="AI13">
        <v>31.939</v>
      </c>
      <c r="AJ13">
        <v>2.4590000000000001</v>
      </c>
    </row>
    <row r="14" spans="1:38" x14ac:dyDescent="0.2">
      <c r="A14">
        <v>9</v>
      </c>
      <c r="B14">
        <v>1.35</v>
      </c>
      <c r="C14">
        <v>29.161000000000001</v>
      </c>
      <c r="D14">
        <v>35.603000000000002</v>
      </c>
      <c r="F14">
        <v>9</v>
      </c>
      <c r="G14">
        <v>0.36899999999999999</v>
      </c>
      <c r="H14">
        <v>33.761000000000003</v>
      </c>
      <c r="I14">
        <v>9.2650000000000006</v>
      </c>
      <c r="K14">
        <v>9</v>
      </c>
      <c r="L14">
        <v>1.1850000000000001</v>
      </c>
      <c r="M14">
        <v>29.434999999999999</v>
      </c>
      <c r="N14">
        <v>31.407</v>
      </c>
      <c r="P14">
        <v>9</v>
      </c>
      <c r="Q14">
        <v>6.8000000000000005E-2</v>
      </c>
      <c r="R14">
        <v>27.82</v>
      </c>
      <c r="S14">
        <v>1.675</v>
      </c>
      <c r="AG14">
        <v>9</v>
      </c>
      <c r="AH14">
        <v>0.43099999999999999</v>
      </c>
      <c r="AI14">
        <v>36.548999999999999</v>
      </c>
      <c r="AJ14">
        <v>10.47</v>
      </c>
    </row>
    <row r="15" spans="1:38" x14ac:dyDescent="0.2">
      <c r="A15">
        <v>10</v>
      </c>
      <c r="B15">
        <v>0.996</v>
      </c>
      <c r="C15">
        <v>30.373999999999999</v>
      </c>
      <c r="D15">
        <v>26.350999999999999</v>
      </c>
      <c r="F15">
        <v>10</v>
      </c>
      <c r="G15">
        <v>0.19900000000000001</v>
      </c>
      <c r="H15">
        <v>39.783000000000001</v>
      </c>
      <c r="I15">
        <v>5.1609999999999996</v>
      </c>
      <c r="K15">
        <v>10</v>
      </c>
      <c r="L15">
        <v>0.83099999999999996</v>
      </c>
      <c r="M15">
        <v>25.321999999999999</v>
      </c>
      <c r="N15">
        <v>22.082999999999998</v>
      </c>
      <c r="P15">
        <v>10</v>
      </c>
      <c r="Q15">
        <v>0.20799999999999999</v>
      </c>
      <c r="R15">
        <v>28.934999999999999</v>
      </c>
      <c r="S15">
        <v>5.0720000000000001</v>
      </c>
      <c r="AG15">
        <v>10</v>
      </c>
      <c r="AH15">
        <v>0.186</v>
      </c>
      <c r="AI15">
        <v>40.220999999999997</v>
      </c>
      <c r="AJ15">
        <v>4.51</v>
      </c>
    </row>
    <row r="16" spans="1:38" x14ac:dyDescent="0.2">
      <c r="A16">
        <v>11</v>
      </c>
      <c r="B16">
        <v>1.133</v>
      </c>
      <c r="C16">
        <v>26.821999999999999</v>
      </c>
      <c r="D16">
        <v>29.667999999999999</v>
      </c>
      <c r="F16">
        <v>1</v>
      </c>
      <c r="G16">
        <v>3.9E-2</v>
      </c>
      <c r="H16">
        <v>28.562000000000001</v>
      </c>
      <c r="I16">
        <v>1.085</v>
      </c>
      <c r="K16">
        <v>11</v>
      </c>
      <c r="L16">
        <v>1.379</v>
      </c>
      <c r="M16">
        <v>22.369</v>
      </c>
      <c r="N16">
        <v>36.673999999999999</v>
      </c>
      <c r="P16">
        <v>11</v>
      </c>
      <c r="Q16">
        <v>9.8000000000000004E-2</v>
      </c>
      <c r="R16">
        <v>31.335999999999999</v>
      </c>
      <c r="S16">
        <v>2.4249999999999998</v>
      </c>
      <c r="AG16">
        <v>11</v>
      </c>
      <c r="AH16">
        <v>0.37</v>
      </c>
      <c r="AI16">
        <v>30.474</v>
      </c>
      <c r="AJ16">
        <v>8.9049999999999994</v>
      </c>
    </row>
    <row r="17" spans="1:41" x14ac:dyDescent="0.2">
      <c r="A17">
        <v>1</v>
      </c>
      <c r="B17">
        <v>1.341</v>
      </c>
      <c r="C17">
        <v>24.498000000000001</v>
      </c>
      <c r="D17">
        <v>35.575000000000003</v>
      </c>
      <c r="F17">
        <v>2</v>
      </c>
      <c r="G17">
        <v>0.25800000000000001</v>
      </c>
      <c r="H17">
        <v>21.41</v>
      </c>
      <c r="I17">
        <v>6.5590000000000002</v>
      </c>
      <c r="K17">
        <v>1</v>
      </c>
      <c r="L17">
        <v>1.446</v>
      </c>
      <c r="M17">
        <v>22.466000000000001</v>
      </c>
      <c r="N17">
        <v>38.262</v>
      </c>
      <c r="P17">
        <v>12</v>
      </c>
      <c r="Q17">
        <v>7.6999999999999999E-2</v>
      </c>
      <c r="R17">
        <v>29.04</v>
      </c>
      <c r="S17">
        <v>1.7430000000000001</v>
      </c>
      <c r="AG17">
        <v>12</v>
      </c>
      <c r="AH17">
        <v>0.27700000000000002</v>
      </c>
      <c r="AI17">
        <v>34.895000000000003</v>
      </c>
      <c r="AJ17">
        <v>6.742</v>
      </c>
    </row>
    <row r="18" spans="1:41" x14ac:dyDescent="0.2">
      <c r="A18">
        <v>2</v>
      </c>
      <c r="B18">
        <v>1.3240000000000001</v>
      </c>
      <c r="C18">
        <v>29.565999999999999</v>
      </c>
      <c r="D18">
        <v>35.466999999999999</v>
      </c>
      <c r="F18">
        <v>3</v>
      </c>
      <c r="G18">
        <v>6.7000000000000004E-2</v>
      </c>
      <c r="H18">
        <v>31.471</v>
      </c>
      <c r="I18">
        <v>1.69</v>
      </c>
      <c r="K18">
        <v>2</v>
      </c>
      <c r="L18">
        <v>1.089</v>
      </c>
      <c r="M18">
        <v>27.361000000000001</v>
      </c>
      <c r="N18">
        <v>28.699000000000002</v>
      </c>
      <c r="P18">
        <v>13</v>
      </c>
      <c r="Q18">
        <v>0.08</v>
      </c>
      <c r="R18">
        <v>26.122</v>
      </c>
      <c r="S18">
        <v>1.946</v>
      </c>
      <c r="AG18">
        <v>13</v>
      </c>
      <c r="AH18">
        <v>0.218</v>
      </c>
      <c r="AI18">
        <v>34.531999999999996</v>
      </c>
      <c r="AJ18">
        <v>5.4290000000000003</v>
      </c>
    </row>
    <row r="19" spans="1:41" x14ac:dyDescent="0.2">
      <c r="A19">
        <v>3</v>
      </c>
      <c r="B19">
        <v>1.175</v>
      </c>
      <c r="C19">
        <v>30.975000000000001</v>
      </c>
      <c r="D19">
        <v>30.962</v>
      </c>
      <c r="F19">
        <v>4</v>
      </c>
      <c r="G19">
        <v>7.9000000000000001E-2</v>
      </c>
      <c r="H19">
        <v>36.101999999999997</v>
      </c>
      <c r="I19">
        <v>2.0489999999999999</v>
      </c>
      <c r="K19">
        <v>3</v>
      </c>
      <c r="L19">
        <v>1.5980000000000001</v>
      </c>
      <c r="M19">
        <v>29.655000000000001</v>
      </c>
      <c r="N19">
        <v>37.383000000000003</v>
      </c>
      <c r="P19">
        <v>14</v>
      </c>
      <c r="Q19">
        <v>0.14000000000000001</v>
      </c>
      <c r="R19">
        <v>35.231999999999999</v>
      </c>
      <c r="S19">
        <v>3.3929999999999998</v>
      </c>
      <c r="AG19">
        <v>14</v>
      </c>
      <c r="AH19">
        <v>0.115</v>
      </c>
      <c r="AI19">
        <v>33.905000000000001</v>
      </c>
      <c r="AJ19">
        <v>2.6680000000000001</v>
      </c>
    </row>
    <row r="20" spans="1:41" x14ac:dyDescent="0.2">
      <c r="A20">
        <v>4</v>
      </c>
      <c r="B20">
        <v>1.0640000000000001</v>
      </c>
      <c r="C20">
        <v>30.818000000000001</v>
      </c>
      <c r="D20">
        <v>28.193999999999999</v>
      </c>
      <c r="F20">
        <v>5</v>
      </c>
      <c r="G20">
        <v>9.1999999999999998E-2</v>
      </c>
      <c r="H20">
        <v>28.472000000000001</v>
      </c>
      <c r="I20">
        <v>2.3050000000000002</v>
      </c>
      <c r="K20">
        <v>4</v>
      </c>
      <c r="L20">
        <v>1.246</v>
      </c>
      <c r="M20">
        <v>26.591000000000001</v>
      </c>
      <c r="N20">
        <v>32.954999999999998</v>
      </c>
      <c r="P20">
        <v>15</v>
      </c>
      <c r="Q20">
        <v>0.29299999999999998</v>
      </c>
      <c r="R20">
        <v>33.085000000000001</v>
      </c>
      <c r="S20">
        <v>6.32</v>
      </c>
      <c r="AG20">
        <v>15</v>
      </c>
      <c r="AH20">
        <v>0.129</v>
      </c>
      <c r="AI20">
        <v>35.548999999999999</v>
      </c>
      <c r="AJ20">
        <v>2.9540000000000002</v>
      </c>
    </row>
    <row r="21" spans="1:41" x14ac:dyDescent="0.2">
      <c r="A21">
        <v>5</v>
      </c>
      <c r="B21">
        <v>1.085</v>
      </c>
      <c r="C21">
        <v>29.09</v>
      </c>
      <c r="D21">
        <v>35.716999999999999</v>
      </c>
      <c r="F21">
        <v>6</v>
      </c>
      <c r="G21">
        <v>5.3999999999999999E-2</v>
      </c>
      <c r="H21">
        <v>22.613</v>
      </c>
      <c r="I21">
        <v>1.373</v>
      </c>
      <c r="K21">
        <v>5</v>
      </c>
      <c r="L21">
        <v>1.218</v>
      </c>
      <c r="M21">
        <v>27.335999999999999</v>
      </c>
      <c r="N21">
        <v>32.08</v>
      </c>
      <c r="P21">
        <v>16</v>
      </c>
      <c r="Q21">
        <v>0.13400000000000001</v>
      </c>
      <c r="R21">
        <v>28.488</v>
      </c>
      <c r="S21">
        <v>3.2090000000000001</v>
      </c>
      <c r="AG21">
        <v>16</v>
      </c>
      <c r="AH21">
        <v>0.30299999999999999</v>
      </c>
      <c r="AI21">
        <v>33.03</v>
      </c>
      <c r="AJ21">
        <v>7.4320000000000004</v>
      </c>
    </row>
    <row r="22" spans="1:41" x14ac:dyDescent="0.2">
      <c r="A22">
        <v>6</v>
      </c>
      <c r="B22">
        <v>1.1839999999999999</v>
      </c>
      <c r="C22">
        <v>27.503</v>
      </c>
      <c r="D22">
        <v>31.428999999999998</v>
      </c>
      <c r="F22">
        <v>7</v>
      </c>
      <c r="G22">
        <v>0.23</v>
      </c>
      <c r="H22">
        <v>45.298999999999999</v>
      </c>
      <c r="I22">
        <v>5.9950000000000001</v>
      </c>
      <c r="K22">
        <v>6</v>
      </c>
      <c r="L22">
        <v>1.36</v>
      </c>
      <c r="M22">
        <v>29.030999999999999</v>
      </c>
      <c r="N22">
        <v>35.734999999999999</v>
      </c>
      <c r="P22">
        <v>17</v>
      </c>
      <c r="Q22">
        <v>0.218</v>
      </c>
      <c r="R22">
        <v>31.042999999999999</v>
      </c>
      <c r="S22">
        <v>5.2240000000000002</v>
      </c>
      <c r="AG22">
        <v>17</v>
      </c>
      <c r="AH22">
        <v>0.161</v>
      </c>
      <c r="AI22">
        <v>27.617999999999999</v>
      </c>
      <c r="AJ22">
        <v>3.9710000000000001</v>
      </c>
    </row>
    <row r="23" spans="1:41" x14ac:dyDescent="0.2">
      <c r="A23">
        <v>7</v>
      </c>
      <c r="B23">
        <v>0.93500000000000005</v>
      </c>
      <c r="C23">
        <v>27.359000000000002</v>
      </c>
      <c r="D23">
        <v>34.997</v>
      </c>
      <c r="F23">
        <v>8</v>
      </c>
      <c r="G23">
        <v>8.1000000000000003E-2</v>
      </c>
      <c r="H23">
        <v>42.064999999999998</v>
      </c>
      <c r="I23">
        <v>1.8140000000000001</v>
      </c>
      <c r="K23">
        <v>7</v>
      </c>
      <c r="L23">
        <v>5.0000000000000001E-3</v>
      </c>
      <c r="M23">
        <v>3.0110000000000001</v>
      </c>
      <c r="N23">
        <v>25.01</v>
      </c>
      <c r="P23">
        <v>18</v>
      </c>
      <c r="Q23">
        <v>0.161</v>
      </c>
      <c r="R23">
        <v>35.462000000000003</v>
      </c>
      <c r="S23">
        <v>4.2539999999999996</v>
      </c>
      <c r="AG23">
        <v>18</v>
      </c>
      <c r="AH23">
        <v>0.107</v>
      </c>
      <c r="AI23">
        <v>30.387</v>
      </c>
      <c r="AJ23">
        <v>2.681</v>
      </c>
    </row>
    <row r="24" spans="1:41" x14ac:dyDescent="0.2">
      <c r="A24">
        <v>8</v>
      </c>
      <c r="B24">
        <v>1.054</v>
      </c>
      <c r="C24">
        <v>26.710999999999999</v>
      </c>
      <c r="D24">
        <v>26.946999999999999</v>
      </c>
      <c r="F24">
        <v>9</v>
      </c>
      <c r="G24">
        <v>0.10100000000000001</v>
      </c>
      <c r="H24">
        <v>36.322000000000003</v>
      </c>
      <c r="I24">
        <v>2.3660000000000001</v>
      </c>
      <c r="K24">
        <v>8</v>
      </c>
      <c r="L24">
        <v>1.4359999999999999</v>
      </c>
      <c r="M24">
        <v>24.617999999999999</v>
      </c>
      <c r="N24">
        <v>37.546999999999997</v>
      </c>
      <c r="P24">
        <v>19</v>
      </c>
      <c r="Q24">
        <v>0.14499999999999999</v>
      </c>
      <c r="R24">
        <v>30.11</v>
      </c>
      <c r="S24">
        <v>3.5030000000000001</v>
      </c>
      <c r="AG24">
        <v>19</v>
      </c>
      <c r="AH24">
        <v>0.30499999999999999</v>
      </c>
      <c r="AI24">
        <v>39.744</v>
      </c>
      <c r="AJ24">
        <v>6.444</v>
      </c>
    </row>
    <row r="25" spans="1:41" x14ac:dyDescent="0.2">
      <c r="A25">
        <v>9</v>
      </c>
      <c r="B25">
        <v>1.3420000000000001</v>
      </c>
      <c r="C25">
        <v>28.449000000000002</v>
      </c>
      <c r="D25">
        <v>35.194000000000003</v>
      </c>
      <c r="F25">
        <v>10</v>
      </c>
      <c r="G25">
        <v>0.11600000000000001</v>
      </c>
      <c r="H25">
        <v>33.484000000000002</v>
      </c>
      <c r="I25">
        <v>2.7519999999999998</v>
      </c>
      <c r="K25">
        <v>9</v>
      </c>
      <c r="L25">
        <v>1.05</v>
      </c>
      <c r="M25">
        <v>33.685000000000002</v>
      </c>
      <c r="N25">
        <v>27.535</v>
      </c>
      <c r="AG25">
        <v>20</v>
      </c>
      <c r="AH25">
        <v>0.113</v>
      </c>
      <c r="AI25">
        <v>39.881</v>
      </c>
      <c r="AJ25">
        <v>2.7850000000000001</v>
      </c>
    </row>
    <row r="26" spans="1:41" x14ac:dyDescent="0.2">
      <c r="A26">
        <v>10</v>
      </c>
      <c r="B26">
        <v>0.873</v>
      </c>
      <c r="C26">
        <v>29.186</v>
      </c>
      <c r="D26">
        <v>27.942</v>
      </c>
      <c r="K26">
        <v>10</v>
      </c>
      <c r="L26">
        <v>1.417</v>
      </c>
      <c r="M26">
        <v>27.129000000000001</v>
      </c>
      <c r="N26">
        <v>36.850999999999999</v>
      </c>
    </row>
    <row r="27" spans="1:41" x14ac:dyDescent="0.2">
      <c r="K27">
        <v>11</v>
      </c>
      <c r="L27">
        <v>1.224</v>
      </c>
      <c r="M27">
        <v>26.702999999999999</v>
      </c>
      <c r="N27">
        <v>32.26</v>
      </c>
    </row>
    <row r="28" spans="1:41" x14ac:dyDescent="0.2">
      <c r="E28" t="s">
        <v>38</v>
      </c>
      <c r="J28" t="s">
        <v>38</v>
      </c>
      <c r="O28" t="s">
        <v>38</v>
      </c>
      <c r="T28" t="s">
        <v>38</v>
      </c>
      <c r="Y28" t="s">
        <v>38</v>
      </c>
      <c r="AF28" t="s">
        <v>38</v>
      </c>
      <c r="AK28" t="s">
        <v>38</v>
      </c>
      <c r="AN28" t="s">
        <v>38</v>
      </c>
    </row>
    <row r="29" spans="1:41" x14ac:dyDescent="0.2">
      <c r="A29" t="s">
        <v>11</v>
      </c>
      <c r="D29">
        <f>AVERAGE(D6:D26)</f>
        <v>30.83319047619047</v>
      </c>
      <c r="E29">
        <f>(D29/D29)*100</f>
        <v>100</v>
      </c>
      <c r="I29">
        <f>AVERAGE(I6:I25)</f>
        <v>4.0481500000000015</v>
      </c>
      <c r="J29">
        <f>(I29/D29)*100</f>
        <v>13.129195965386719</v>
      </c>
      <c r="N29">
        <f>AVERAGE(N6:N27)</f>
        <v>32.711636363636359</v>
      </c>
      <c r="O29">
        <f>(N29/D29)*100</f>
        <v>106.09228515906078</v>
      </c>
      <c r="S29">
        <f>AVERAGE(S6:S24)</f>
        <v>3.4570526315789474</v>
      </c>
      <c r="T29">
        <f>(S29/D29)*100</f>
        <v>11.212114536925718</v>
      </c>
      <c r="W29">
        <v>0</v>
      </c>
      <c r="X29">
        <v>0</v>
      </c>
      <c r="Y29">
        <v>0</v>
      </c>
      <c r="Z29">
        <v>0</v>
      </c>
      <c r="AA29">
        <v>0</v>
      </c>
      <c r="AE29">
        <v>0</v>
      </c>
      <c r="AF29">
        <v>0</v>
      </c>
      <c r="AJ29">
        <f>AVERAGE(AJ6:AJ25)</f>
        <v>5.4314999999999998</v>
      </c>
      <c r="AK29">
        <f>(AJ29/D29)*100</f>
        <v>17.615757293083988</v>
      </c>
      <c r="AL29">
        <v>0</v>
      </c>
      <c r="AO29">
        <v>0</v>
      </c>
    </row>
    <row r="30" spans="1:41" x14ac:dyDescent="0.2">
      <c r="A30" t="s">
        <v>12</v>
      </c>
      <c r="D30">
        <f>STDEVA(D6:D26)</f>
        <v>3.9369843740996937</v>
      </c>
      <c r="I30">
        <f>STDEVA(I6:I25)</f>
        <v>2.6849448151733601</v>
      </c>
      <c r="N30">
        <f>STDEVA(N6:N27)</f>
        <v>5.4956145333863651</v>
      </c>
      <c r="S30">
        <f>STDEVA(S6:S27)</f>
        <v>1.4505496457735623</v>
      </c>
      <c r="X30">
        <v>0</v>
      </c>
      <c r="Z30">
        <v>0</v>
      </c>
      <c r="AE30">
        <v>0</v>
      </c>
      <c r="AJ30">
        <f>STDEVA(AJ6:AJ27)</f>
        <v>3.2460310745342706</v>
      </c>
      <c r="AL30">
        <v>0</v>
      </c>
    </row>
    <row r="32" spans="1:41" x14ac:dyDescent="0.2"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3:12" x14ac:dyDescent="0.2">
      <c r="D33" t="s">
        <v>1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</row>
    <row r="34" spans="3:12" x14ac:dyDescent="0.2">
      <c r="C34" t="s">
        <v>11</v>
      </c>
      <c r="D34">
        <f>AVERAGE(D11:D31)</f>
        <v>30.015620825016121</v>
      </c>
      <c r="E34">
        <v>4.0481500000000015</v>
      </c>
      <c r="F34">
        <v>31.761590909090909</v>
      </c>
      <c r="G34">
        <v>3.223681818181817</v>
      </c>
      <c r="H34">
        <v>2.8530000000000002</v>
      </c>
      <c r="I34">
        <v>0</v>
      </c>
      <c r="J34">
        <v>3.846714285714286</v>
      </c>
      <c r="K34">
        <v>3.6959090909090908</v>
      </c>
      <c r="L34">
        <v>0</v>
      </c>
    </row>
    <row r="35" spans="3:12" x14ac:dyDescent="0.2">
      <c r="C35" t="s">
        <v>13</v>
      </c>
      <c r="D35">
        <v>3.9369843740996937</v>
      </c>
      <c r="E35">
        <v>2.6849448151733601</v>
      </c>
      <c r="F35">
        <v>5.4956145333863651</v>
      </c>
      <c r="G35">
        <v>2.2903723420806439</v>
      </c>
      <c r="H35">
        <v>0</v>
      </c>
      <c r="I35">
        <v>0</v>
      </c>
      <c r="J35">
        <v>0</v>
      </c>
      <c r="K35">
        <v>2.6243500040434671</v>
      </c>
      <c r="L35">
        <v>0</v>
      </c>
    </row>
    <row r="36" spans="3:12" x14ac:dyDescent="0.2">
      <c r="D36">
        <f>(D35/$D34)*100</f>
        <v>13.116451587163128</v>
      </c>
      <c r="E36">
        <f t="shared" ref="E36:L36" si="0">(E35/$D34)*100</f>
        <v>8.9451583587957249</v>
      </c>
      <c r="F36">
        <f>(F35/$D34)*100</f>
        <v>18.309181627208318</v>
      </c>
      <c r="G36">
        <f>(G35/$D34)*100</f>
        <v>7.6306012640317054</v>
      </c>
      <c r="H36">
        <f t="shared" si="0"/>
        <v>0</v>
      </c>
      <c r="I36">
        <f t="shared" si="0"/>
        <v>0</v>
      </c>
      <c r="J36">
        <f t="shared" si="0"/>
        <v>0</v>
      </c>
      <c r="K36">
        <f t="shared" si="0"/>
        <v>8.7432807715116034</v>
      </c>
      <c r="L36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FE6F-2F47-47D6-82A0-E7CE5CE63286}">
  <dimension ref="A2:AO36"/>
  <sheetViews>
    <sheetView topLeftCell="A16" zoomScaleNormal="100" workbookViewId="0">
      <selection activeCell="K46" sqref="K46"/>
    </sheetView>
  </sheetViews>
  <sheetFormatPr baseColWidth="10" defaultColWidth="8.83203125" defaultRowHeight="15" x14ac:dyDescent="0.2"/>
  <sheetData>
    <row r="2" spans="1:38" x14ac:dyDescent="0.2">
      <c r="A2" s="1" t="s">
        <v>0</v>
      </c>
    </row>
    <row r="3" spans="1:38" x14ac:dyDescent="0.2">
      <c r="K3" t="s">
        <v>3</v>
      </c>
      <c r="P3" t="s">
        <v>3</v>
      </c>
      <c r="U3" t="s">
        <v>3</v>
      </c>
      <c r="Z3" t="s">
        <v>3</v>
      </c>
      <c r="AB3" t="s">
        <v>3</v>
      </c>
      <c r="AG3" t="s">
        <v>3</v>
      </c>
      <c r="AL3" t="s">
        <v>3</v>
      </c>
    </row>
    <row r="4" spans="1:38" x14ac:dyDescent="0.2">
      <c r="A4" t="s">
        <v>1</v>
      </c>
      <c r="F4" t="s">
        <v>3</v>
      </c>
      <c r="K4" t="s">
        <v>4</v>
      </c>
      <c r="P4" t="s">
        <v>5</v>
      </c>
      <c r="U4" t="s">
        <v>6</v>
      </c>
      <c r="Z4" t="s">
        <v>7</v>
      </c>
      <c r="AB4" t="s">
        <v>8</v>
      </c>
      <c r="AG4" t="s">
        <v>9</v>
      </c>
      <c r="AL4" t="s">
        <v>10</v>
      </c>
    </row>
    <row r="5" spans="1:38" x14ac:dyDescent="0.2">
      <c r="D5" t="s">
        <v>2</v>
      </c>
    </row>
    <row r="6" spans="1:38" x14ac:dyDescent="0.2">
      <c r="A6">
        <v>1</v>
      </c>
      <c r="B6">
        <v>1.131</v>
      </c>
      <c r="C6">
        <v>24.338999999999999</v>
      </c>
      <c r="D6">
        <v>30.526</v>
      </c>
      <c r="F6">
        <v>1</v>
      </c>
      <c r="G6">
        <v>0.2</v>
      </c>
      <c r="H6">
        <v>34.399000000000001</v>
      </c>
      <c r="I6">
        <v>5.1559999999999997</v>
      </c>
      <c r="K6">
        <v>1</v>
      </c>
      <c r="L6">
        <v>1.746</v>
      </c>
      <c r="M6">
        <v>24.988</v>
      </c>
      <c r="N6">
        <v>45.973999999999997</v>
      </c>
      <c r="P6">
        <v>1</v>
      </c>
      <c r="Q6">
        <v>8.7999999999999995E-2</v>
      </c>
      <c r="R6">
        <v>38.932000000000002</v>
      </c>
      <c r="S6">
        <v>1.9990000000000001</v>
      </c>
      <c r="U6">
        <v>1</v>
      </c>
      <c r="V6">
        <v>0.107</v>
      </c>
      <c r="W6">
        <v>22.323</v>
      </c>
      <c r="X6">
        <v>2.58</v>
      </c>
      <c r="AB6">
        <v>1</v>
      </c>
      <c r="AC6">
        <v>0.128</v>
      </c>
      <c r="AD6">
        <v>28.715</v>
      </c>
      <c r="AE6">
        <v>3.1349999999999998</v>
      </c>
      <c r="AG6">
        <v>1</v>
      </c>
      <c r="AH6">
        <v>0.16800000000000001</v>
      </c>
      <c r="AI6">
        <v>35.170999999999999</v>
      </c>
      <c r="AJ6">
        <v>3.923</v>
      </c>
    </row>
    <row r="7" spans="1:38" x14ac:dyDescent="0.2">
      <c r="A7">
        <v>2</v>
      </c>
      <c r="B7">
        <v>0.871</v>
      </c>
      <c r="C7">
        <v>17.75</v>
      </c>
      <c r="D7">
        <v>23.047000000000001</v>
      </c>
      <c r="F7">
        <v>2</v>
      </c>
      <c r="G7">
        <v>6.2E-2</v>
      </c>
      <c r="H7">
        <v>36.19</v>
      </c>
      <c r="I7">
        <v>1.496</v>
      </c>
      <c r="K7">
        <v>2</v>
      </c>
      <c r="L7">
        <v>1.1779999999999999</v>
      </c>
      <c r="M7">
        <v>34.173000000000002</v>
      </c>
      <c r="N7">
        <v>30.792999999999999</v>
      </c>
      <c r="P7">
        <v>2</v>
      </c>
      <c r="Q7">
        <v>0.152</v>
      </c>
      <c r="R7">
        <v>30.888999999999999</v>
      </c>
      <c r="S7">
        <v>3.8079999999999998</v>
      </c>
      <c r="U7">
        <v>2</v>
      </c>
      <c r="V7">
        <v>4.8000000000000001E-2</v>
      </c>
      <c r="W7">
        <v>39.978999999999999</v>
      </c>
      <c r="X7">
        <v>1.1419999999999999</v>
      </c>
      <c r="AB7">
        <v>2</v>
      </c>
      <c r="AC7">
        <v>0.14599999999999999</v>
      </c>
      <c r="AD7">
        <v>41.521999999999998</v>
      </c>
      <c r="AE7">
        <v>3.17</v>
      </c>
      <c r="AG7">
        <v>2</v>
      </c>
      <c r="AH7">
        <v>0.38900000000000001</v>
      </c>
      <c r="AI7">
        <v>42.003</v>
      </c>
      <c r="AJ7">
        <v>9.4179999999999993</v>
      </c>
    </row>
    <row r="8" spans="1:38" x14ac:dyDescent="0.2">
      <c r="A8">
        <v>3</v>
      </c>
      <c r="B8">
        <v>1.024</v>
      </c>
      <c r="C8">
        <v>31.783000000000001</v>
      </c>
      <c r="D8">
        <v>26.981000000000002</v>
      </c>
      <c r="F8">
        <v>3</v>
      </c>
      <c r="G8">
        <v>8.5999999999999993E-2</v>
      </c>
      <c r="H8">
        <v>31.695</v>
      </c>
      <c r="I8">
        <v>1.8280000000000001</v>
      </c>
      <c r="K8">
        <v>3</v>
      </c>
      <c r="L8">
        <v>0.997</v>
      </c>
      <c r="M8">
        <v>23.908000000000001</v>
      </c>
      <c r="N8">
        <v>26.321000000000002</v>
      </c>
      <c r="P8">
        <v>3</v>
      </c>
      <c r="Q8">
        <v>0.23300000000000001</v>
      </c>
      <c r="R8">
        <v>35.67</v>
      </c>
      <c r="S8">
        <v>5.9160000000000004</v>
      </c>
      <c r="U8">
        <v>3</v>
      </c>
      <c r="V8">
        <v>0.25700000000000001</v>
      </c>
      <c r="W8">
        <v>35.177999999999997</v>
      </c>
      <c r="X8">
        <v>6.6550000000000002</v>
      </c>
      <c r="AB8">
        <v>3</v>
      </c>
      <c r="AC8">
        <v>0.11700000000000001</v>
      </c>
      <c r="AD8">
        <v>44.271999999999998</v>
      </c>
      <c r="AE8">
        <v>2.7810000000000001</v>
      </c>
      <c r="AG8">
        <v>3</v>
      </c>
      <c r="AH8">
        <v>0.32100000000000001</v>
      </c>
      <c r="AI8">
        <v>41.488999999999997</v>
      </c>
      <c r="AJ8">
        <v>8.2029999999999994</v>
      </c>
    </row>
    <row r="9" spans="1:38" x14ac:dyDescent="0.2">
      <c r="A9">
        <v>4</v>
      </c>
      <c r="B9">
        <v>0.97299999999999998</v>
      </c>
      <c r="C9">
        <v>28.475999999999999</v>
      </c>
      <c r="D9">
        <v>35.707000000000001</v>
      </c>
      <c r="F9">
        <v>4</v>
      </c>
      <c r="G9">
        <v>0.30499999999999999</v>
      </c>
      <c r="H9">
        <v>40.905000000000001</v>
      </c>
      <c r="I9">
        <v>7.3330000000000002</v>
      </c>
      <c r="K9">
        <v>4</v>
      </c>
      <c r="L9">
        <v>1.407</v>
      </c>
      <c r="M9">
        <v>29.349</v>
      </c>
      <c r="N9">
        <v>37.290999999999997</v>
      </c>
      <c r="P9">
        <v>4</v>
      </c>
      <c r="Q9">
        <v>7.2999999999999995E-2</v>
      </c>
      <c r="R9">
        <v>39.912999999999997</v>
      </c>
      <c r="S9">
        <v>1.7769999999999999</v>
      </c>
      <c r="U9">
        <v>4</v>
      </c>
      <c r="V9">
        <v>5.8000000000000003E-2</v>
      </c>
      <c r="W9">
        <v>45.218000000000004</v>
      </c>
      <c r="X9">
        <v>1.3120000000000001</v>
      </c>
      <c r="AB9">
        <v>4</v>
      </c>
      <c r="AC9">
        <v>0.113</v>
      </c>
      <c r="AD9">
        <v>30.972999999999999</v>
      </c>
      <c r="AE9">
        <v>2.8980000000000001</v>
      </c>
      <c r="AG9">
        <v>4</v>
      </c>
      <c r="AH9">
        <v>0.20399999999999999</v>
      </c>
      <c r="AI9">
        <v>41.183</v>
      </c>
      <c r="AJ9">
        <v>4.9039999999999999</v>
      </c>
    </row>
    <row r="10" spans="1:38" x14ac:dyDescent="0.2">
      <c r="A10">
        <v>5</v>
      </c>
      <c r="B10">
        <v>0.96599999999999997</v>
      </c>
      <c r="C10">
        <v>23.626000000000001</v>
      </c>
      <c r="D10">
        <v>25.725000000000001</v>
      </c>
      <c r="F10">
        <v>5</v>
      </c>
      <c r="G10">
        <v>0.27900000000000003</v>
      </c>
      <c r="H10">
        <v>42.255000000000003</v>
      </c>
      <c r="I10">
        <v>6.45</v>
      </c>
      <c r="K10">
        <v>5</v>
      </c>
      <c r="L10">
        <v>1.0840000000000001</v>
      </c>
      <c r="M10">
        <v>30.460999999999999</v>
      </c>
      <c r="N10">
        <v>28.844000000000001</v>
      </c>
      <c r="P10">
        <v>5</v>
      </c>
      <c r="Q10">
        <v>0.17399999999999999</v>
      </c>
      <c r="R10">
        <v>40.578000000000003</v>
      </c>
      <c r="S10">
        <v>4.1239999999999997</v>
      </c>
      <c r="U10">
        <v>5</v>
      </c>
      <c r="V10">
        <v>0.17899999999999999</v>
      </c>
      <c r="W10">
        <v>22.408999999999999</v>
      </c>
      <c r="X10">
        <v>4.3769999999999998</v>
      </c>
      <c r="AB10">
        <v>5</v>
      </c>
      <c r="AC10">
        <v>0.14199999999999999</v>
      </c>
      <c r="AD10">
        <v>27.652999999999999</v>
      </c>
      <c r="AE10">
        <v>3.548</v>
      </c>
      <c r="AG10">
        <v>5</v>
      </c>
      <c r="AH10">
        <v>7.0000000000000007E-2</v>
      </c>
      <c r="AI10">
        <v>35.042999999999999</v>
      </c>
      <c r="AJ10">
        <v>1.452</v>
      </c>
    </row>
    <row r="11" spans="1:38" x14ac:dyDescent="0.2">
      <c r="A11">
        <v>6</v>
      </c>
      <c r="B11">
        <v>1.2</v>
      </c>
      <c r="C11">
        <v>28.611999999999998</v>
      </c>
      <c r="D11">
        <v>30.956</v>
      </c>
      <c r="F11">
        <v>6</v>
      </c>
      <c r="G11">
        <v>0.16900000000000001</v>
      </c>
      <c r="H11">
        <v>32.174999999999997</v>
      </c>
      <c r="I11">
        <v>4.3040000000000003</v>
      </c>
      <c r="K11">
        <v>6</v>
      </c>
      <c r="L11">
        <v>1.34</v>
      </c>
      <c r="M11">
        <v>30.614000000000001</v>
      </c>
      <c r="N11">
        <v>34.835999999999999</v>
      </c>
      <c r="P11">
        <v>6</v>
      </c>
      <c r="Q11">
        <v>0.47</v>
      </c>
      <c r="R11">
        <v>44.209000000000003</v>
      </c>
      <c r="S11">
        <v>11.721</v>
      </c>
      <c r="U11">
        <v>6</v>
      </c>
      <c r="V11">
        <v>0.314</v>
      </c>
      <c r="W11">
        <v>41.595999999999997</v>
      </c>
      <c r="X11">
        <v>8.0190000000000001</v>
      </c>
      <c r="AB11">
        <v>6</v>
      </c>
      <c r="AC11">
        <v>0.13400000000000001</v>
      </c>
      <c r="AD11">
        <v>32.505000000000003</v>
      </c>
      <c r="AE11">
        <v>3.258</v>
      </c>
      <c r="AG11">
        <v>6</v>
      </c>
      <c r="AH11">
        <v>0.38300000000000001</v>
      </c>
      <c r="AI11">
        <v>42.722999999999999</v>
      </c>
      <c r="AJ11">
        <v>9.1639999999999997</v>
      </c>
    </row>
    <row r="12" spans="1:38" x14ac:dyDescent="0.2">
      <c r="A12">
        <v>7</v>
      </c>
      <c r="B12">
        <v>1.0880000000000001</v>
      </c>
      <c r="C12">
        <v>31.39</v>
      </c>
      <c r="D12">
        <v>28.713999999999999</v>
      </c>
      <c r="F12">
        <v>7</v>
      </c>
      <c r="G12">
        <v>0.372</v>
      </c>
      <c r="H12">
        <v>31.46</v>
      </c>
      <c r="I12">
        <v>9.4220000000000006</v>
      </c>
      <c r="K12">
        <v>7</v>
      </c>
      <c r="L12">
        <v>1.0049999999999999</v>
      </c>
      <c r="M12">
        <v>28.631</v>
      </c>
      <c r="N12">
        <v>26.777999999999999</v>
      </c>
      <c r="P12">
        <v>7</v>
      </c>
      <c r="Q12">
        <v>0.14299999999999999</v>
      </c>
      <c r="R12">
        <v>27.847000000000001</v>
      </c>
      <c r="S12">
        <v>3.4820000000000002</v>
      </c>
      <c r="U12">
        <v>7</v>
      </c>
      <c r="V12">
        <v>0.12</v>
      </c>
      <c r="W12">
        <v>38.75</v>
      </c>
      <c r="X12">
        <v>3.081</v>
      </c>
      <c r="AB12">
        <v>7</v>
      </c>
      <c r="AC12">
        <v>0.16700000000000001</v>
      </c>
      <c r="AD12">
        <v>38.780999999999999</v>
      </c>
      <c r="AE12">
        <v>3.9969999999999999</v>
      </c>
      <c r="AG12">
        <v>7</v>
      </c>
      <c r="AH12">
        <v>9.7000000000000003E-2</v>
      </c>
      <c r="AI12">
        <v>41.21</v>
      </c>
      <c r="AJ12">
        <v>2.617</v>
      </c>
    </row>
    <row r="13" spans="1:38" x14ac:dyDescent="0.2">
      <c r="A13">
        <v>8</v>
      </c>
      <c r="B13">
        <v>1.1879999999999999</v>
      </c>
      <c r="C13">
        <v>29.024000000000001</v>
      </c>
      <c r="D13">
        <v>31.795000000000002</v>
      </c>
      <c r="F13">
        <v>8</v>
      </c>
      <c r="G13">
        <v>0.115</v>
      </c>
      <c r="H13">
        <v>34.357999999999997</v>
      </c>
      <c r="I13">
        <v>2.56</v>
      </c>
      <c r="K13">
        <v>8</v>
      </c>
      <c r="L13">
        <v>1.3029999999999999</v>
      </c>
      <c r="M13">
        <v>27.09</v>
      </c>
      <c r="N13">
        <v>34.338000000000001</v>
      </c>
      <c r="P13">
        <v>8</v>
      </c>
      <c r="Q13">
        <v>7.2999999999999995E-2</v>
      </c>
      <c r="R13">
        <v>36.747</v>
      </c>
      <c r="S13">
        <v>1.635</v>
      </c>
      <c r="U13">
        <v>8</v>
      </c>
      <c r="V13">
        <v>0.08</v>
      </c>
      <c r="W13">
        <v>22.14</v>
      </c>
      <c r="X13">
        <v>1.8759999999999999</v>
      </c>
      <c r="AB13">
        <v>8</v>
      </c>
      <c r="AC13">
        <v>0.14399999999999999</v>
      </c>
      <c r="AD13">
        <v>34.381999999999998</v>
      </c>
      <c r="AE13">
        <v>3.6160000000000001</v>
      </c>
      <c r="AG13">
        <v>8</v>
      </c>
      <c r="AH13">
        <v>7.2999999999999995E-2</v>
      </c>
      <c r="AI13">
        <v>38.601999999999997</v>
      </c>
      <c r="AJ13">
        <v>1.8819999999999999</v>
      </c>
    </row>
    <row r="14" spans="1:38" x14ac:dyDescent="0.2">
      <c r="A14">
        <v>9</v>
      </c>
      <c r="B14">
        <v>1.35</v>
      </c>
      <c r="C14">
        <v>29.161000000000001</v>
      </c>
      <c r="D14">
        <v>35.603000000000002</v>
      </c>
      <c r="F14">
        <v>9</v>
      </c>
      <c r="G14">
        <v>0.36899999999999999</v>
      </c>
      <c r="H14">
        <v>33.761000000000003</v>
      </c>
      <c r="I14">
        <v>9.2650000000000006</v>
      </c>
      <c r="K14">
        <v>9</v>
      </c>
      <c r="L14">
        <v>1.1850000000000001</v>
      </c>
      <c r="M14">
        <v>29.434999999999999</v>
      </c>
      <c r="N14">
        <v>31.407</v>
      </c>
      <c r="P14">
        <v>9</v>
      </c>
      <c r="Q14">
        <v>0.19800000000000001</v>
      </c>
      <c r="R14">
        <v>27.449000000000002</v>
      </c>
      <c r="S14">
        <v>4.9249999999999998</v>
      </c>
      <c r="U14">
        <v>9</v>
      </c>
      <c r="V14">
        <v>0.113</v>
      </c>
      <c r="W14">
        <v>27.361000000000001</v>
      </c>
      <c r="X14">
        <v>2.8370000000000002</v>
      </c>
      <c r="AB14">
        <v>9</v>
      </c>
      <c r="AC14">
        <v>0.122</v>
      </c>
      <c r="AD14">
        <v>26.846</v>
      </c>
      <c r="AE14">
        <v>3.169</v>
      </c>
      <c r="AG14">
        <v>9</v>
      </c>
      <c r="AH14">
        <v>6.6000000000000003E-2</v>
      </c>
      <c r="AI14">
        <v>24.866</v>
      </c>
      <c r="AJ14">
        <v>1.4019999999999999</v>
      </c>
    </row>
    <row r="15" spans="1:38" x14ac:dyDescent="0.2">
      <c r="A15">
        <v>10</v>
      </c>
      <c r="B15">
        <v>0.996</v>
      </c>
      <c r="C15">
        <v>30.373999999999999</v>
      </c>
      <c r="D15">
        <v>26.350999999999999</v>
      </c>
      <c r="F15">
        <v>10</v>
      </c>
      <c r="G15">
        <v>0.19900000000000001</v>
      </c>
      <c r="H15">
        <v>39.783000000000001</v>
      </c>
      <c r="I15">
        <v>5.1609999999999996</v>
      </c>
      <c r="K15">
        <v>10</v>
      </c>
      <c r="L15">
        <v>0.83099999999999996</v>
      </c>
      <c r="M15">
        <v>25.321999999999999</v>
      </c>
      <c r="N15">
        <v>22.082999999999998</v>
      </c>
      <c r="P15">
        <v>10</v>
      </c>
      <c r="Q15">
        <v>9.6000000000000002E-2</v>
      </c>
      <c r="R15">
        <v>31.998000000000001</v>
      </c>
      <c r="S15">
        <v>2.3719999999999999</v>
      </c>
      <c r="U15">
        <v>10</v>
      </c>
      <c r="V15">
        <v>0.161</v>
      </c>
      <c r="W15">
        <v>27.097999999999999</v>
      </c>
      <c r="X15">
        <v>3.6680000000000001</v>
      </c>
      <c r="AB15">
        <v>10</v>
      </c>
      <c r="AC15">
        <v>0.105</v>
      </c>
      <c r="AD15">
        <v>37.988999999999997</v>
      </c>
      <c r="AE15">
        <v>2.625</v>
      </c>
      <c r="AG15">
        <v>10</v>
      </c>
      <c r="AH15">
        <v>0.14799999999999999</v>
      </c>
      <c r="AI15">
        <v>26.4</v>
      </c>
      <c r="AJ15">
        <v>3.93</v>
      </c>
    </row>
    <row r="16" spans="1:38" x14ac:dyDescent="0.2">
      <c r="A16">
        <v>11</v>
      </c>
      <c r="B16">
        <v>1.133</v>
      </c>
      <c r="C16">
        <v>26.821999999999999</v>
      </c>
      <c r="D16">
        <v>29.667999999999999</v>
      </c>
      <c r="F16">
        <v>1</v>
      </c>
      <c r="G16">
        <v>3.9E-2</v>
      </c>
      <c r="H16">
        <v>28.562000000000001</v>
      </c>
      <c r="I16">
        <v>1.085</v>
      </c>
      <c r="K16">
        <v>11</v>
      </c>
      <c r="L16">
        <v>1.379</v>
      </c>
      <c r="M16">
        <v>22.369</v>
      </c>
      <c r="N16">
        <v>36.673999999999999</v>
      </c>
      <c r="P16">
        <v>11</v>
      </c>
      <c r="Q16">
        <v>0.186</v>
      </c>
      <c r="R16">
        <v>35.423999999999999</v>
      </c>
      <c r="S16">
        <v>4.883</v>
      </c>
      <c r="U16">
        <v>1</v>
      </c>
      <c r="V16">
        <v>0.16200000000000001</v>
      </c>
      <c r="W16">
        <v>38.441000000000003</v>
      </c>
      <c r="X16">
        <v>3.9220000000000002</v>
      </c>
      <c r="AB16">
        <v>1</v>
      </c>
      <c r="AC16">
        <v>0.16200000000000001</v>
      </c>
      <c r="AD16">
        <v>37.106000000000002</v>
      </c>
      <c r="AE16">
        <v>4.2119999999999997</v>
      </c>
      <c r="AG16">
        <v>11</v>
      </c>
      <c r="AH16">
        <v>0.10100000000000001</v>
      </c>
      <c r="AI16">
        <v>32.186999999999998</v>
      </c>
      <c r="AJ16">
        <v>2.4350000000000001</v>
      </c>
    </row>
    <row r="17" spans="1:41" x14ac:dyDescent="0.2">
      <c r="A17">
        <v>1</v>
      </c>
      <c r="B17">
        <v>1.341</v>
      </c>
      <c r="C17">
        <v>24.498000000000001</v>
      </c>
      <c r="D17">
        <v>35.575000000000003</v>
      </c>
      <c r="F17">
        <v>2</v>
      </c>
      <c r="G17">
        <v>0.25800000000000001</v>
      </c>
      <c r="H17">
        <v>21.41</v>
      </c>
      <c r="I17">
        <v>6.5590000000000002</v>
      </c>
      <c r="K17">
        <v>1</v>
      </c>
      <c r="L17">
        <v>1.446</v>
      </c>
      <c r="M17">
        <v>22.466000000000001</v>
      </c>
      <c r="N17">
        <v>38.262</v>
      </c>
      <c r="P17">
        <v>1</v>
      </c>
      <c r="Q17">
        <v>8.8999999999999996E-2</v>
      </c>
      <c r="R17">
        <v>31.776</v>
      </c>
      <c r="S17">
        <v>2.0640000000000001</v>
      </c>
      <c r="U17">
        <v>2</v>
      </c>
      <c r="V17">
        <v>3.9E-2</v>
      </c>
      <c r="W17">
        <v>8.859</v>
      </c>
      <c r="X17">
        <v>0.97499999999999998</v>
      </c>
      <c r="AB17">
        <v>2</v>
      </c>
      <c r="AC17">
        <v>0.19800000000000001</v>
      </c>
      <c r="AD17">
        <v>33.441000000000003</v>
      </c>
      <c r="AE17">
        <v>4.931</v>
      </c>
      <c r="AG17">
        <v>1</v>
      </c>
      <c r="AH17">
        <v>7.1999999999999995E-2</v>
      </c>
      <c r="AI17">
        <v>17.007999999999999</v>
      </c>
      <c r="AJ17">
        <v>1.7689999999999999</v>
      </c>
    </row>
    <row r="18" spans="1:41" x14ac:dyDescent="0.2">
      <c r="A18">
        <v>2</v>
      </c>
      <c r="B18">
        <v>1.3240000000000001</v>
      </c>
      <c r="C18">
        <v>29.565999999999999</v>
      </c>
      <c r="D18">
        <v>35.466999999999999</v>
      </c>
      <c r="F18">
        <v>3</v>
      </c>
      <c r="G18">
        <v>6.7000000000000004E-2</v>
      </c>
      <c r="H18">
        <v>31.471</v>
      </c>
      <c r="I18">
        <v>1.69</v>
      </c>
      <c r="K18">
        <v>2</v>
      </c>
      <c r="L18">
        <v>1.089</v>
      </c>
      <c r="M18">
        <v>27.361000000000001</v>
      </c>
      <c r="N18">
        <v>28.699000000000002</v>
      </c>
      <c r="P18">
        <v>2</v>
      </c>
      <c r="Q18">
        <v>7.5999999999999998E-2</v>
      </c>
      <c r="R18">
        <v>34.265000000000001</v>
      </c>
      <c r="S18">
        <v>1.7609999999999999</v>
      </c>
      <c r="U18">
        <v>3</v>
      </c>
      <c r="V18">
        <v>9.7000000000000003E-2</v>
      </c>
      <c r="W18">
        <v>38.609000000000002</v>
      </c>
      <c r="X18">
        <v>2.4670000000000001</v>
      </c>
      <c r="AB18">
        <v>3</v>
      </c>
      <c r="AC18">
        <v>0.122</v>
      </c>
      <c r="AD18">
        <v>38.658000000000001</v>
      </c>
      <c r="AE18">
        <v>2.9820000000000002</v>
      </c>
      <c r="AG18">
        <v>2</v>
      </c>
      <c r="AH18">
        <v>0.05</v>
      </c>
      <c r="AI18">
        <v>26.181000000000001</v>
      </c>
      <c r="AJ18">
        <v>1.4</v>
      </c>
    </row>
    <row r="19" spans="1:41" x14ac:dyDescent="0.2">
      <c r="A19">
        <v>3</v>
      </c>
      <c r="B19">
        <v>1.175</v>
      </c>
      <c r="C19">
        <v>30.975000000000001</v>
      </c>
      <c r="D19">
        <v>30.962</v>
      </c>
      <c r="F19">
        <v>4</v>
      </c>
      <c r="G19">
        <v>7.9000000000000001E-2</v>
      </c>
      <c r="H19">
        <v>36.101999999999997</v>
      </c>
      <c r="I19">
        <v>2.0489999999999999</v>
      </c>
      <c r="K19">
        <v>3</v>
      </c>
      <c r="L19">
        <v>1.5980000000000001</v>
      </c>
      <c r="M19">
        <v>29.655000000000001</v>
      </c>
      <c r="N19">
        <v>41.383000000000003</v>
      </c>
      <c r="P19">
        <v>3</v>
      </c>
      <c r="Q19">
        <v>0.111</v>
      </c>
      <c r="R19">
        <v>43.593000000000004</v>
      </c>
      <c r="S19">
        <v>2.5529999999999999</v>
      </c>
      <c r="U19">
        <v>4</v>
      </c>
      <c r="V19">
        <v>8.5000000000000006E-2</v>
      </c>
      <c r="W19">
        <v>34.658000000000001</v>
      </c>
      <c r="X19">
        <v>2.145</v>
      </c>
      <c r="AB19">
        <v>4</v>
      </c>
      <c r="AC19">
        <v>0.159</v>
      </c>
      <c r="AD19">
        <v>30.462</v>
      </c>
      <c r="AE19">
        <v>3.907</v>
      </c>
      <c r="AG19">
        <v>3</v>
      </c>
      <c r="AH19">
        <v>5.8000000000000003E-2</v>
      </c>
      <c r="AI19">
        <v>24.024999999999999</v>
      </c>
      <c r="AJ19">
        <v>1.526</v>
      </c>
    </row>
    <row r="20" spans="1:41" x14ac:dyDescent="0.2">
      <c r="A20">
        <v>4</v>
      </c>
      <c r="B20">
        <v>1.0640000000000001</v>
      </c>
      <c r="C20">
        <v>30.818000000000001</v>
      </c>
      <c r="D20">
        <v>28.193999999999999</v>
      </c>
      <c r="F20">
        <v>5</v>
      </c>
      <c r="G20">
        <v>9.1999999999999998E-2</v>
      </c>
      <c r="H20">
        <v>28.472000000000001</v>
      </c>
      <c r="I20">
        <v>2.3050000000000002</v>
      </c>
      <c r="K20">
        <v>4</v>
      </c>
      <c r="L20">
        <v>1.246</v>
      </c>
      <c r="M20">
        <v>26.591000000000001</v>
      </c>
      <c r="N20">
        <v>32.954999999999998</v>
      </c>
      <c r="P20">
        <v>4</v>
      </c>
      <c r="Q20">
        <v>0.11700000000000001</v>
      </c>
      <c r="R20">
        <v>37.487000000000002</v>
      </c>
      <c r="S20">
        <v>2.75</v>
      </c>
      <c r="U20">
        <v>5</v>
      </c>
      <c r="V20">
        <v>0.23799999999999999</v>
      </c>
      <c r="W20">
        <v>33.792000000000002</v>
      </c>
      <c r="X20">
        <v>6.1159999999999997</v>
      </c>
      <c r="AB20">
        <v>5</v>
      </c>
      <c r="AC20">
        <v>0.183</v>
      </c>
      <c r="AD20">
        <v>40.728000000000002</v>
      </c>
      <c r="AE20">
        <v>4.5090000000000003</v>
      </c>
      <c r="AG20">
        <v>4</v>
      </c>
      <c r="AH20">
        <v>4.2999999999999997E-2</v>
      </c>
      <c r="AI20">
        <v>16.960999999999999</v>
      </c>
      <c r="AJ20">
        <v>1.1299999999999999</v>
      </c>
    </row>
    <row r="21" spans="1:41" x14ac:dyDescent="0.2">
      <c r="A21">
        <v>5</v>
      </c>
      <c r="B21">
        <v>1.085</v>
      </c>
      <c r="C21">
        <v>29.09</v>
      </c>
      <c r="D21">
        <v>35.716999999999999</v>
      </c>
      <c r="F21">
        <v>6</v>
      </c>
      <c r="G21">
        <v>5.3999999999999999E-2</v>
      </c>
      <c r="H21">
        <v>22.613</v>
      </c>
      <c r="I21">
        <v>1.373</v>
      </c>
      <c r="K21">
        <v>5</v>
      </c>
      <c r="L21">
        <v>1.218</v>
      </c>
      <c r="M21">
        <v>27.335999999999999</v>
      </c>
      <c r="N21">
        <v>32.08</v>
      </c>
      <c r="P21">
        <v>5</v>
      </c>
      <c r="Q21">
        <v>0.113</v>
      </c>
      <c r="R21">
        <v>40.003</v>
      </c>
      <c r="S21">
        <v>2.7389999999999999</v>
      </c>
      <c r="U21">
        <v>6</v>
      </c>
      <c r="V21">
        <v>4.5999999999999999E-2</v>
      </c>
      <c r="W21">
        <v>21.456</v>
      </c>
      <c r="X21">
        <v>0.97</v>
      </c>
      <c r="AB21">
        <v>6</v>
      </c>
      <c r="AC21">
        <v>0.19700000000000001</v>
      </c>
      <c r="AD21">
        <v>34.101999999999997</v>
      </c>
      <c r="AE21">
        <v>4.6390000000000002</v>
      </c>
      <c r="AG21">
        <v>5</v>
      </c>
      <c r="AH21">
        <v>0.26200000000000001</v>
      </c>
      <c r="AI21">
        <v>18.027000000000001</v>
      </c>
      <c r="AJ21">
        <v>6.6029999999999998</v>
      </c>
    </row>
    <row r="22" spans="1:41" x14ac:dyDescent="0.2">
      <c r="A22">
        <v>6</v>
      </c>
      <c r="B22">
        <v>1.1839999999999999</v>
      </c>
      <c r="C22">
        <v>27.503</v>
      </c>
      <c r="D22">
        <v>31.428999999999998</v>
      </c>
      <c r="F22">
        <v>7</v>
      </c>
      <c r="G22">
        <v>0.23</v>
      </c>
      <c r="H22">
        <v>45.298999999999999</v>
      </c>
      <c r="I22">
        <v>5.9950000000000001</v>
      </c>
      <c r="K22">
        <v>6</v>
      </c>
      <c r="L22">
        <v>1.36</v>
      </c>
      <c r="M22">
        <v>29.030999999999999</v>
      </c>
      <c r="N22">
        <v>35.734999999999999</v>
      </c>
      <c r="P22">
        <v>6</v>
      </c>
      <c r="Q22">
        <v>6.6000000000000003E-2</v>
      </c>
      <c r="R22">
        <v>32.814999999999998</v>
      </c>
      <c r="S22">
        <v>1.639</v>
      </c>
      <c r="U22">
        <v>7</v>
      </c>
      <c r="V22">
        <v>4.7E-2</v>
      </c>
      <c r="W22">
        <v>17.131</v>
      </c>
      <c r="X22">
        <v>1.054</v>
      </c>
      <c r="AB22">
        <v>7</v>
      </c>
      <c r="AC22">
        <v>0.14799999999999999</v>
      </c>
      <c r="AD22">
        <v>28.204999999999998</v>
      </c>
      <c r="AE22">
        <v>3.4860000000000002</v>
      </c>
      <c r="AG22">
        <v>6</v>
      </c>
      <c r="AH22">
        <v>9.5000000000000001E-2</v>
      </c>
      <c r="AI22">
        <v>34.136000000000003</v>
      </c>
      <c r="AJ22">
        <v>2.4159999999999999</v>
      </c>
    </row>
    <row r="23" spans="1:41" x14ac:dyDescent="0.2">
      <c r="A23">
        <v>7</v>
      </c>
      <c r="B23">
        <v>0.93500000000000005</v>
      </c>
      <c r="C23">
        <v>27.359000000000002</v>
      </c>
      <c r="D23">
        <v>34.997</v>
      </c>
      <c r="F23">
        <v>8</v>
      </c>
      <c r="G23">
        <v>8.1000000000000003E-2</v>
      </c>
      <c r="H23">
        <v>42.064999999999998</v>
      </c>
      <c r="I23">
        <v>1.8140000000000001</v>
      </c>
      <c r="K23">
        <v>7</v>
      </c>
      <c r="L23">
        <v>5.0000000000000001E-3</v>
      </c>
      <c r="M23">
        <v>3.0110000000000001</v>
      </c>
      <c r="N23">
        <v>0.109</v>
      </c>
      <c r="P23">
        <v>7</v>
      </c>
      <c r="Q23">
        <v>9.0999999999999998E-2</v>
      </c>
      <c r="R23">
        <v>40.33</v>
      </c>
      <c r="S23">
        <v>2.016</v>
      </c>
      <c r="U23">
        <v>8</v>
      </c>
      <c r="V23">
        <v>0.13700000000000001</v>
      </c>
      <c r="W23">
        <v>33.381999999999998</v>
      </c>
      <c r="X23">
        <v>3.3319999999999999</v>
      </c>
      <c r="AB23">
        <v>8</v>
      </c>
      <c r="AC23">
        <v>0.25900000000000001</v>
      </c>
      <c r="AD23">
        <v>34.454999999999998</v>
      </c>
      <c r="AE23">
        <v>6.2859999999999996</v>
      </c>
      <c r="AG23">
        <v>7</v>
      </c>
      <c r="AH23">
        <v>0.216</v>
      </c>
      <c r="AI23">
        <v>32.631</v>
      </c>
      <c r="AJ23">
        <v>5.61</v>
      </c>
    </row>
    <row r="24" spans="1:41" x14ac:dyDescent="0.2">
      <c r="A24">
        <v>8</v>
      </c>
      <c r="B24">
        <v>1.054</v>
      </c>
      <c r="C24">
        <v>26.710999999999999</v>
      </c>
      <c r="D24">
        <v>26.946999999999999</v>
      </c>
      <c r="F24">
        <v>9</v>
      </c>
      <c r="G24">
        <v>0.10100000000000001</v>
      </c>
      <c r="H24">
        <v>36.322000000000003</v>
      </c>
      <c r="I24">
        <v>2.3660000000000001</v>
      </c>
      <c r="K24">
        <v>8</v>
      </c>
      <c r="L24">
        <v>1.4359999999999999</v>
      </c>
      <c r="M24">
        <v>24.617999999999999</v>
      </c>
      <c r="N24">
        <v>37.546999999999997</v>
      </c>
      <c r="P24">
        <v>8</v>
      </c>
      <c r="Q24">
        <v>7.2999999999999995E-2</v>
      </c>
      <c r="R24">
        <v>31.981000000000002</v>
      </c>
      <c r="S24">
        <v>1.611</v>
      </c>
      <c r="U24">
        <v>9</v>
      </c>
      <c r="V24">
        <v>7.2999999999999995E-2</v>
      </c>
      <c r="W24">
        <v>27.841000000000001</v>
      </c>
      <c r="X24">
        <v>1.661</v>
      </c>
      <c r="AB24">
        <v>9</v>
      </c>
      <c r="AC24">
        <v>0.189</v>
      </c>
      <c r="AD24">
        <v>32.252000000000002</v>
      </c>
      <c r="AE24">
        <v>4.7450000000000001</v>
      </c>
      <c r="AG24">
        <v>8</v>
      </c>
      <c r="AH24">
        <v>0.1</v>
      </c>
      <c r="AI24">
        <v>39.561</v>
      </c>
      <c r="AJ24">
        <v>2.359</v>
      </c>
    </row>
    <row r="25" spans="1:41" x14ac:dyDescent="0.2">
      <c r="A25">
        <v>9</v>
      </c>
      <c r="B25">
        <v>1.3420000000000001</v>
      </c>
      <c r="C25">
        <v>28.449000000000002</v>
      </c>
      <c r="D25">
        <v>35.194000000000003</v>
      </c>
      <c r="F25">
        <v>10</v>
      </c>
      <c r="G25">
        <v>0.11600000000000001</v>
      </c>
      <c r="H25">
        <v>33.484000000000002</v>
      </c>
      <c r="I25">
        <v>2.7519999999999998</v>
      </c>
      <c r="K25">
        <v>9</v>
      </c>
      <c r="L25">
        <v>1.05</v>
      </c>
      <c r="M25">
        <v>33.685000000000002</v>
      </c>
      <c r="N25">
        <v>27.535</v>
      </c>
      <c r="P25">
        <v>9</v>
      </c>
      <c r="Q25">
        <v>7.0000000000000007E-2</v>
      </c>
      <c r="R25">
        <v>28.021000000000001</v>
      </c>
      <c r="S25">
        <v>1.6719999999999999</v>
      </c>
      <c r="U25">
        <v>10</v>
      </c>
      <c r="V25">
        <v>3.3000000000000002E-2</v>
      </c>
      <c r="W25">
        <v>25.126999999999999</v>
      </c>
      <c r="X25">
        <v>0.80300000000000005</v>
      </c>
      <c r="AB25">
        <v>10</v>
      </c>
      <c r="AC25">
        <v>0.191</v>
      </c>
      <c r="AD25">
        <v>34.165999999999997</v>
      </c>
      <c r="AE25">
        <v>4.9859999999999998</v>
      </c>
      <c r="AG25">
        <v>9</v>
      </c>
      <c r="AH25">
        <v>0.214</v>
      </c>
      <c r="AI25">
        <v>37.411000000000001</v>
      </c>
      <c r="AJ25">
        <v>5.0620000000000003</v>
      </c>
    </row>
    <row r="26" spans="1:41" x14ac:dyDescent="0.2">
      <c r="A26">
        <v>10</v>
      </c>
      <c r="B26">
        <v>0.873</v>
      </c>
      <c r="C26">
        <v>29.186</v>
      </c>
      <c r="D26">
        <v>27.942</v>
      </c>
      <c r="K26">
        <v>10</v>
      </c>
      <c r="L26">
        <v>1.417</v>
      </c>
      <c r="M26">
        <v>27.129000000000001</v>
      </c>
      <c r="N26">
        <v>36.850999999999999</v>
      </c>
      <c r="P26">
        <v>10</v>
      </c>
      <c r="Q26">
        <v>6.8000000000000005E-2</v>
      </c>
      <c r="R26">
        <v>17.61</v>
      </c>
      <c r="S26">
        <v>1.4810000000000001</v>
      </c>
      <c r="U26">
        <v>11</v>
      </c>
      <c r="V26">
        <v>3.5000000000000003E-2</v>
      </c>
      <c r="W26">
        <v>20.765999999999998</v>
      </c>
      <c r="X26">
        <v>0.92100000000000004</v>
      </c>
      <c r="AB26">
        <v>11</v>
      </c>
      <c r="AC26">
        <v>0.16500000000000001</v>
      </c>
      <c r="AD26">
        <v>31.146000000000001</v>
      </c>
      <c r="AE26">
        <v>3.9009999999999998</v>
      </c>
      <c r="AG26">
        <v>10</v>
      </c>
      <c r="AH26">
        <v>5.8999999999999997E-2</v>
      </c>
      <c r="AI26">
        <v>10.089</v>
      </c>
      <c r="AJ26">
        <v>1.468</v>
      </c>
    </row>
    <row r="27" spans="1:41" x14ac:dyDescent="0.2">
      <c r="K27">
        <v>11</v>
      </c>
      <c r="L27">
        <v>1.224</v>
      </c>
      <c r="M27">
        <v>26.702999999999999</v>
      </c>
      <c r="N27">
        <v>32.26</v>
      </c>
      <c r="P27">
        <v>11</v>
      </c>
      <c r="Q27">
        <v>0.16</v>
      </c>
      <c r="R27">
        <v>38.304000000000002</v>
      </c>
      <c r="S27">
        <v>3.9929999999999999</v>
      </c>
      <c r="AG27">
        <v>11</v>
      </c>
      <c r="AH27">
        <v>0.11</v>
      </c>
      <c r="AI27">
        <v>36.61</v>
      </c>
      <c r="AJ27">
        <v>2.637</v>
      </c>
    </row>
    <row r="28" spans="1:41" x14ac:dyDescent="0.2">
      <c r="E28" t="s">
        <v>38</v>
      </c>
      <c r="J28" t="s">
        <v>38</v>
      </c>
      <c r="O28" t="s">
        <v>38</v>
      </c>
      <c r="T28" t="s">
        <v>38</v>
      </c>
      <c r="Y28" t="s">
        <v>38</v>
      </c>
      <c r="AF28" t="s">
        <v>38</v>
      </c>
      <c r="AK28" t="s">
        <v>38</v>
      </c>
      <c r="AN28" t="s">
        <v>38</v>
      </c>
    </row>
    <row r="29" spans="1:41" x14ac:dyDescent="0.2">
      <c r="A29" t="s">
        <v>11</v>
      </c>
      <c r="D29">
        <f>AVERAGE(D6:D26)</f>
        <v>30.83319047619047</v>
      </c>
      <c r="E29">
        <f>(D29/D29)*100</f>
        <v>100</v>
      </c>
      <c r="I29">
        <f>AVERAGE(I6:I25)</f>
        <v>4.0481500000000015</v>
      </c>
      <c r="J29">
        <f>(I29/D29)*100</f>
        <v>13.129195965386719</v>
      </c>
      <c r="N29">
        <f>AVERAGE(N6:N27)</f>
        <v>31.761590909090909</v>
      </c>
      <c r="O29">
        <f>(N29/D29)*100</f>
        <v>103.01104238180396</v>
      </c>
      <c r="S29">
        <f>AVERAGE(S6:S27)</f>
        <v>3.223681818181817</v>
      </c>
      <c r="T29">
        <f>(S29/D29)*100</f>
        <v>10.455232716416935</v>
      </c>
      <c r="X29">
        <f>AVERAGE(X6:X26)</f>
        <v>2.8530000000000002</v>
      </c>
      <c r="Y29">
        <f>(X29/D29)*100</f>
        <v>9.2530158440888552</v>
      </c>
      <c r="Z29">
        <v>0</v>
      </c>
      <c r="AA29">
        <v>0</v>
      </c>
      <c r="AE29">
        <f>AVERAGE(AE6:AE26)</f>
        <v>3.846714285714286</v>
      </c>
      <c r="AF29">
        <f>(AE29/D29)*100</f>
        <v>12.47588791917183</v>
      </c>
      <c r="AJ29">
        <f>AVERAGE(AJ6:AJ27)</f>
        <v>3.6959090909090908</v>
      </c>
      <c r="AK29">
        <f>(AJ29/D29)*100</f>
        <v>11.986787723972608</v>
      </c>
      <c r="AL29">
        <v>0</v>
      </c>
      <c r="AO29">
        <v>0</v>
      </c>
    </row>
    <row r="30" spans="1:41" x14ac:dyDescent="0.2">
      <c r="A30" t="s">
        <v>12</v>
      </c>
      <c r="D30">
        <f>STDEVA(D6:D26)</f>
        <v>3.9369843740996937</v>
      </c>
      <c r="I30">
        <f>STDEVA(I6:I25)</f>
        <v>2.6849448151733601</v>
      </c>
      <c r="N30">
        <f>STDEVA(N6:N27)</f>
        <v>8.9212642316737671</v>
      </c>
      <c r="S30">
        <f>STDEVA(S6:S27)</f>
        <v>2.2903723420806439</v>
      </c>
      <c r="X30">
        <f>STDEVA(X6:X26)</f>
        <v>2.0352844272975701</v>
      </c>
      <c r="Z30">
        <v>0</v>
      </c>
      <c r="AE30">
        <f>STDEVA(AE6:AE26)</f>
        <v>0.91593330231284298</v>
      </c>
      <c r="AJ30">
        <f>STDEVA(AJ6:AJ27)</f>
        <v>2.6243500040434671</v>
      </c>
      <c r="AL30">
        <v>0</v>
      </c>
    </row>
    <row r="32" spans="1:41" x14ac:dyDescent="0.2"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3:12" x14ac:dyDescent="0.2">
      <c r="D33" t="s">
        <v>1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</row>
    <row r="34" spans="3:12" x14ac:dyDescent="0.2">
      <c r="C34" t="s">
        <v>11</v>
      </c>
      <c r="D34">
        <f>AVERAGE(D11:D31)</f>
        <v>30.015620825016121</v>
      </c>
      <c r="E34">
        <v>4.0481500000000015</v>
      </c>
      <c r="F34">
        <v>31.761590909090909</v>
      </c>
      <c r="G34">
        <v>3.223681818181817</v>
      </c>
      <c r="H34">
        <v>2.8530000000000002</v>
      </c>
      <c r="I34">
        <v>0</v>
      </c>
      <c r="J34">
        <v>3.846714285714286</v>
      </c>
      <c r="K34">
        <v>3.6959090909090908</v>
      </c>
      <c r="L34">
        <v>0</v>
      </c>
    </row>
    <row r="35" spans="3:12" x14ac:dyDescent="0.2">
      <c r="C35" t="s">
        <v>13</v>
      </c>
      <c r="D35">
        <v>3.9369843740996937</v>
      </c>
      <c r="E35">
        <v>2.6849448151733601</v>
      </c>
      <c r="F35">
        <v>8.9212642316737671</v>
      </c>
      <c r="G35">
        <v>2.2903723420806439</v>
      </c>
      <c r="H35">
        <v>2.0352844272975701</v>
      </c>
      <c r="I35">
        <v>0</v>
      </c>
      <c r="J35">
        <v>0.91593330231284298</v>
      </c>
      <c r="K35">
        <v>2.6243500040434671</v>
      </c>
      <c r="L35">
        <v>0</v>
      </c>
    </row>
    <row r="36" spans="3:12" x14ac:dyDescent="0.2">
      <c r="D36">
        <f>(D35/$D34)*100</f>
        <v>13.116451587163128</v>
      </c>
      <c r="E36">
        <f t="shared" ref="E36:L36" si="0">(E35/$D34)*100</f>
        <v>8.9451583587957249</v>
      </c>
      <c r="F36">
        <f>(F35/$D34)*100</f>
        <v>29.722071329733939</v>
      </c>
      <c r="G36">
        <f t="shared" si="0"/>
        <v>7.6306012640317054</v>
      </c>
      <c r="H36">
        <f t="shared" si="0"/>
        <v>6.7807507269724345</v>
      </c>
      <c r="I36">
        <f t="shared" si="0"/>
        <v>0</v>
      </c>
      <c r="J36">
        <f t="shared" si="0"/>
        <v>3.0515220979519788</v>
      </c>
      <c r="K36">
        <f t="shared" si="0"/>
        <v>8.7432807715116034</v>
      </c>
      <c r="L36">
        <f t="shared" si="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D110-0DFC-4E57-90C9-310C2A5BA616}">
  <dimension ref="A1:AQ38"/>
  <sheetViews>
    <sheetView tabSelected="1" zoomScaleNormal="100" workbookViewId="0">
      <selection activeCell="E38" sqref="E38"/>
    </sheetView>
  </sheetViews>
  <sheetFormatPr baseColWidth="10" defaultColWidth="8.83203125" defaultRowHeight="15" x14ac:dyDescent="0.2"/>
  <sheetData>
    <row r="1" spans="1:42" x14ac:dyDescent="0.2">
      <c r="A1" s="1" t="s">
        <v>15</v>
      </c>
      <c r="B1" s="1"/>
    </row>
    <row r="2" spans="1:42" x14ac:dyDescent="0.2">
      <c r="L2" t="s">
        <v>3</v>
      </c>
      <c r="Q2" t="s">
        <v>3</v>
      </c>
      <c r="S2" t="s">
        <v>3</v>
      </c>
      <c r="X2" t="s">
        <v>3</v>
      </c>
      <c r="AC2" t="s">
        <v>3</v>
      </c>
      <c r="AH2" t="s">
        <v>3</v>
      </c>
      <c r="AM2" t="s">
        <v>3</v>
      </c>
    </row>
    <row r="3" spans="1:42" x14ac:dyDescent="0.2">
      <c r="B3" t="s">
        <v>1</v>
      </c>
      <c r="G3" t="s">
        <v>14</v>
      </c>
      <c r="L3" t="s">
        <v>4</v>
      </c>
      <c r="Q3" t="s">
        <v>16</v>
      </c>
      <c r="S3" t="s">
        <v>17</v>
      </c>
      <c r="X3" t="s">
        <v>18</v>
      </c>
      <c r="AC3" t="s">
        <v>19</v>
      </c>
      <c r="AH3" t="s">
        <v>20</v>
      </c>
      <c r="AM3" t="s">
        <v>21</v>
      </c>
    </row>
    <row r="4" spans="1:42" x14ac:dyDescent="0.2">
      <c r="B4">
        <v>1</v>
      </c>
      <c r="C4">
        <v>1.73</v>
      </c>
      <c r="D4">
        <v>21.582000000000001</v>
      </c>
      <c r="E4">
        <v>45.256</v>
      </c>
      <c r="G4">
        <v>1</v>
      </c>
      <c r="H4">
        <v>0.185</v>
      </c>
      <c r="I4">
        <v>35.151000000000003</v>
      </c>
      <c r="J4">
        <v>4.6680000000000001</v>
      </c>
      <c r="L4">
        <v>1</v>
      </c>
      <c r="M4">
        <v>1.3420000000000001</v>
      </c>
      <c r="N4">
        <v>24.666</v>
      </c>
      <c r="O4">
        <v>35.244</v>
      </c>
      <c r="S4">
        <v>1</v>
      </c>
      <c r="T4">
        <v>0.13</v>
      </c>
      <c r="U4">
        <v>27.239000000000001</v>
      </c>
      <c r="V4">
        <v>3.3090000000000002</v>
      </c>
      <c r="X4">
        <v>1</v>
      </c>
      <c r="Y4">
        <v>0.20200000000000001</v>
      </c>
      <c r="Z4">
        <v>31.484999999999999</v>
      </c>
      <c r="AA4">
        <v>4.6509999999999998</v>
      </c>
      <c r="AC4">
        <v>1</v>
      </c>
      <c r="AD4">
        <v>0.13200000000000001</v>
      </c>
      <c r="AE4">
        <v>28.831</v>
      </c>
      <c r="AF4">
        <v>3.2909999999999999</v>
      </c>
      <c r="AH4">
        <v>1</v>
      </c>
      <c r="AI4">
        <v>0.111</v>
      </c>
      <c r="AJ4">
        <v>28.870999999999999</v>
      </c>
      <c r="AK4">
        <v>3.028</v>
      </c>
      <c r="AM4">
        <v>1</v>
      </c>
      <c r="AN4">
        <v>8.5000000000000006E-2</v>
      </c>
      <c r="AO4">
        <v>27.068999999999999</v>
      </c>
      <c r="AP4">
        <v>1.9410000000000001</v>
      </c>
    </row>
    <row r="5" spans="1:42" x14ac:dyDescent="0.2">
      <c r="B5">
        <v>2</v>
      </c>
      <c r="C5">
        <v>0.98199999999999998</v>
      </c>
      <c r="D5">
        <v>33.633000000000003</v>
      </c>
      <c r="E5">
        <v>24.905000000000001</v>
      </c>
      <c r="G5">
        <v>2</v>
      </c>
      <c r="H5">
        <v>0.152</v>
      </c>
      <c r="I5">
        <v>43.871000000000002</v>
      </c>
      <c r="J5">
        <v>3.6890000000000001</v>
      </c>
      <c r="L5">
        <v>2</v>
      </c>
      <c r="M5">
        <v>1.5249999999999999</v>
      </c>
      <c r="N5">
        <v>31.326000000000001</v>
      </c>
      <c r="O5">
        <v>40.445999999999998</v>
      </c>
      <c r="S5">
        <v>2</v>
      </c>
      <c r="T5">
        <v>8.7999999999999995E-2</v>
      </c>
      <c r="U5">
        <v>26.324999999999999</v>
      </c>
      <c r="V5">
        <v>2.097</v>
      </c>
      <c r="X5">
        <v>2</v>
      </c>
      <c r="Y5">
        <v>0.122</v>
      </c>
      <c r="Z5">
        <v>29.01</v>
      </c>
      <c r="AA5">
        <v>3.032</v>
      </c>
      <c r="AC5">
        <v>2</v>
      </c>
      <c r="AD5">
        <v>0.11799999999999999</v>
      </c>
      <c r="AE5">
        <v>29.027999999999999</v>
      </c>
      <c r="AF5">
        <v>2.9449999999999998</v>
      </c>
      <c r="AH5">
        <v>2</v>
      </c>
      <c r="AI5">
        <v>0.29899999999999999</v>
      </c>
      <c r="AJ5">
        <v>32.090000000000003</v>
      </c>
      <c r="AK5">
        <v>7.65</v>
      </c>
      <c r="AM5">
        <v>2</v>
      </c>
      <c r="AN5">
        <v>0.32400000000000001</v>
      </c>
      <c r="AO5">
        <v>37.606999999999999</v>
      </c>
      <c r="AP5">
        <v>7.9870000000000001</v>
      </c>
    </row>
    <row r="6" spans="1:42" x14ac:dyDescent="0.2">
      <c r="B6">
        <v>3</v>
      </c>
      <c r="C6">
        <v>1.506</v>
      </c>
      <c r="D6">
        <v>29.593</v>
      </c>
      <c r="E6">
        <v>38.241</v>
      </c>
      <c r="G6">
        <v>3</v>
      </c>
      <c r="H6">
        <v>6.0999999999999999E-2</v>
      </c>
      <c r="I6">
        <v>33.722000000000001</v>
      </c>
      <c r="J6">
        <v>1.4590000000000001</v>
      </c>
      <c r="L6">
        <v>3</v>
      </c>
      <c r="M6">
        <v>1.56</v>
      </c>
      <c r="N6">
        <v>33.384999999999998</v>
      </c>
      <c r="O6">
        <v>40.286000000000001</v>
      </c>
      <c r="S6">
        <v>3</v>
      </c>
      <c r="T6">
        <v>9.4E-2</v>
      </c>
      <c r="U6">
        <v>46.545000000000002</v>
      </c>
      <c r="V6">
        <v>2.2629999999999999</v>
      </c>
      <c r="X6">
        <v>3</v>
      </c>
      <c r="Y6">
        <v>0.104</v>
      </c>
      <c r="Z6">
        <v>32.543999999999997</v>
      </c>
      <c r="AA6">
        <v>2.4009999999999998</v>
      </c>
      <c r="AC6">
        <v>3</v>
      </c>
      <c r="AD6">
        <v>0.33600000000000002</v>
      </c>
      <c r="AE6">
        <v>31.260999999999999</v>
      </c>
      <c r="AF6">
        <v>8.2720000000000002</v>
      </c>
      <c r="AH6">
        <v>3</v>
      </c>
      <c r="AI6">
        <v>5.7000000000000002E-2</v>
      </c>
      <c r="AJ6">
        <v>30.125</v>
      </c>
      <c r="AK6">
        <v>1.4910000000000001</v>
      </c>
      <c r="AM6">
        <v>3</v>
      </c>
      <c r="AN6">
        <v>0.115</v>
      </c>
      <c r="AO6">
        <v>29.055</v>
      </c>
      <c r="AP6">
        <v>2.8969999999999998</v>
      </c>
    </row>
    <row r="7" spans="1:42" x14ac:dyDescent="0.2">
      <c r="B7">
        <v>4</v>
      </c>
      <c r="C7">
        <v>1.427</v>
      </c>
      <c r="D7">
        <v>26.545999999999999</v>
      </c>
      <c r="E7">
        <v>36.970999999999997</v>
      </c>
      <c r="G7">
        <v>4</v>
      </c>
      <c r="H7">
        <v>5.0999999999999997E-2</v>
      </c>
      <c r="I7">
        <v>34.799999999999997</v>
      </c>
      <c r="J7">
        <v>1.4279999999999999</v>
      </c>
      <c r="L7">
        <v>4</v>
      </c>
      <c r="M7">
        <v>1.3740000000000001</v>
      </c>
      <c r="N7">
        <v>35.357999999999997</v>
      </c>
      <c r="O7">
        <v>36.234000000000002</v>
      </c>
      <c r="S7">
        <v>4</v>
      </c>
      <c r="T7">
        <v>6.4000000000000001E-2</v>
      </c>
      <c r="U7">
        <v>24.948</v>
      </c>
      <c r="V7">
        <v>1.5640000000000001</v>
      </c>
      <c r="X7">
        <v>4</v>
      </c>
      <c r="Y7">
        <v>0.33600000000000002</v>
      </c>
      <c r="Z7">
        <v>30.756</v>
      </c>
      <c r="AA7">
        <v>7.6749999999999998</v>
      </c>
      <c r="AC7">
        <v>4</v>
      </c>
      <c r="AD7">
        <v>0.158</v>
      </c>
      <c r="AE7">
        <v>32.692999999999998</v>
      </c>
      <c r="AF7">
        <v>3.9620000000000002</v>
      </c>
      <c r="AH7">
        <v>4</v>
      </c>
      <c r="AI7">
        <v>0.13400000000000001</v>
      </c>
      <c r="AJ7">
        <v>31.768000000000001</v>
      </c>
      <c r="AK7">
        <v>3.1760000000000002</v>
      </c>
      <c r="AM7">
        <v>4</v>
      </c>
      <c r="AN7">
        <v>0.36699999999999999</v>
      </c>
      <c r="AO7">
        <v>40.125999999999998</v>
      </c>
      <c r="AP7">
        <v>8.7420000000000009</v>
      </c>
    </row>
    <row r="8" spans="1:42" x14ac:dyDescent="0.2">
      <c r="B8">
        <v>5</v>
      </c>
      <c r="C8">
        <v>1.3919999999999999</v>
      </c>
      <c r="D8">
        <v>36.356000000000002</v>
      </c>
      <c r="E8">
        <v>35.99</v>
      </c>
      <c r="G8">
        <v>5</v>
      </c>
      <c r="H8">
        <v>6.6000000000000003E-2</v>
      </c>
      <c r="I8">
        <v>39.625999999999998</v>
      </c>
      <c r="J8">
        <v>4.8570000000000002</v>
      </c>
      <c r="L8">
        <v>5</v>
      </c>
      <c r="M8">
        <v>1.3360000000000001</v>
      </c>
      <c r="N8">
        <v>28.382000000000001</v>
      </c>
      <c r="O8">
        <v>34.155999999999999</v>
      </c>
      <c r="S8">
        <v>5</v>
      </c>
      <c r="T8">
        <v>6.2E-2</v>
      </c>
      <c r="U8">
        <v>32.527999999999999</v>
      </c>
      <c r="V8">
        <v>1.345</v>
      </c>
      <c r="X8">
        <v>5</v>
      </c>
      <c r="Y8">
        <v>0.124</v>
      </c>
      <c r="Z8">
        <v>26.161999999999999</v>
      </c>
      <c r="AA8">
        <v>3.1360000000000001</v>
      </c>
      <c r="AC8">
        <v>5</v>
      </c>
      <c r="AD8">
        <v>0.218</v>
      </c>
      <c r="AE8">
        <v>43.460999999999999</v>
      </c>
      <c r="AF8">
        <v>5.0750000000000002</v>
      </c>
      <c r="AH8">
        <v>5</v>
      </c>
      <c r="AI8">
        <v>0.18</v>
      </c>
      <c r="AJ8">
        <v>36.14</v>
      </c>
      <c r="AK8">
        <v>4.5750000000000002</v>
      </c>
      <c r="AM8">
        <v>5</v>
      </c>
      <c r="AN8">
        <v>0.25</v>
      </c>
      <c r="AO8">
        <v>38.985999999999997</v>
      </c>
      <c r="AP8">
        <v>6.1859999999999999</v>
      </c>
    </row>
    <row r="9" spans="1:42" x14ac:dyDescent="0.2">
      <c r="B9">
        <v>6</v>
      </c>
      <c r="C9">
        <v>1.242</v>
      </c>
      <c r="D9">
        <v>35.405999999999999</v>
      </c>
      <c r="E9">
        <v>32.292000000000002</v>
      </c>
      <c r="G9">
        <v>6</v>
      </c>
      <c r="H9">
        <v>0.111</v>
      </c>
      <c r="I9">
        <v>34.813000000000002</v>
      </c>
      <c r="J9">
        <v>2.4449999999999998</v>
      </c>
      <c r="L9">
        <v>6</v>
      </c>
      <c r="M9">
        <v>1.575</v>
      </c>
      <c r="N9">
        <v>31.059000000000001</v>
      </c>
      <c r="O9">
        <v>40.637</v>
      </c>
      <c r="S9">
        <v>6</v>
      </c>
      <c r="T9">
        <v>0.13400000000000001</v>
      </c>
      <c r="U9">
        <v>38.100999999999999</v>
      </c>
      <c r="V9">
        <v>3.4510000000000001</v>
      </c>
      <c r="X9">
        <v>6</v>
      </c>
      <c r="Y9">
        <v>0.27100000000000002</v>
      </c>
      <c r="Z9">
        <v>32.090000000000003</v>
      </c>
      <c r="AA9">
        <v>6.99</v>
      </c>
      <c r="AC9">
        <v>6</v>
      </c>
      <c r="AD9">
        <v>0.27400000000000002</v>
      </c>
      <c r="AE9">
        <v>31.920999999999999</v>
      </c>
      <c r="AF9">
        <v>6.673</v>
      </c>
      <c r="AH9">
        <v>6</v>
      </c>
      <c r="AI9">
        <v>0.249</v>
      </c>
      <c r="AJ9">
        <v>28.402000000000001</v>
      </c>
      <c r="AK9">
        <v>6.4710000000000001</v>
      </c>
      <c r="AM9">
        <v>6</v>
      </c>
      <c r="AN9">
        <v>0.17899999999999999</v>
      </c>
      <c r="AO9">
        <v>29.53</v>
      </c>
      <c r="AP9">
        <v>4.2699999999999996</v>
      </c>
    </row>
    <row r="10" spans="1:42" x14ac:dyDescent="0.2">
      <c r="B10">
        <v>7</v>
      </c>
      <c r="C10">
        <v>1.6259999999999999</v>
      </c>
      <c r="D10">
        <v>29.207999999999998</v>
      </c>
      <c r="E10">
        <v>41.363999999999997</v>
      </c>
      <c r="G10">
        <v>7</v>
      </c>
      <c r="H10">
        <v>0.23499999999999999</v>
      </c>
      <c r="I10">
        <v>29.66</v>
      </c>
      <c r="J10">
        <v>5.976</v>
      </c>
      <c r="L10">
        <v>7</v>
      </c>
      <c r="M10">
        <v>1.139</v>
      </c>
      <c r="N10">
        <v>25.736999999999998</v>
      </c>
      <c r="O10">
        <v>30.146000000000001</v>
      </c>
      <c r="S10">
        <v>7</v>
      </c>
      <c r="T10">
        <v>6.9000000000000006E-2</v>
      </c>
      <c r="U10">
        <v>20.501000000000001</v>
      </c>
      <c r="V10">
        <v>1.33</v>
      </c>
      <c r="X10">
        <v>7</v>
      </c>
      <c r="Y10">
        <v>0.249</v>
      </c>
      <c r="Z10">
        <v>32.404000000000003</v>
      </c>
      <c r="AA10">
        <v>6.4029999999999996</v>
      </c>
      <c r="AC10">
        <v>7</v>
      </c>
      <c r="AD10">
        <v>0.27500000000000002</v>
      </c>
      <c r="AE10">
        <v>29.878</v>
      </c>
      <c r="AF10">
        <v>6.423</v>
      </c>
      <c r="AH10">
        <v>7</v>
      </c>
      <c r="AI10">
        <v>8.5000000000000006E-2</v>
      </c>
      <c r="AJ10">
        <v>34.381</v>
      </c>
      <c r="AK10">
        <v>1.8640000000000001</v>
      </c>
      <c r="AM10">
        <v>7</v>
      </c>
      <c r="AN10">
        <v>0.14699999999999999</v>
      </c>
      <c r="AO10">
        <v>35.045999999999999</v>
      </c>
      <c r="AP10">
        <v>3.69</v>
      </c>
    </row>
    <row r="11" spans="1:42" x14ac:dyDescent="0.2">
      <c r="B11">
        <v>8</v>
      </c>
      <c r="C11">
        <v>1.514</v>
      </c>
      <c r="D11">
        <v>23.324999999999999</v>
      </c>
      <c r="E11">
        <v>38.414999999999999</v>
      </c>
      <c r="G11">
        <v>8</v>
      </c>
      <c r="H11">
        <v>7.9000000000000001E-2</v>
      </c>
      <c r="I11">
        <v>41.634999999999998</v>
      </c>
      <c r="J11">
        <v>1.946</v>
      </c>
      <c r="L11">
        <v>8</v>
      </c>
      <c r="M11">
        <v>1.429</v>
      </c>
      <c r="N11">
        <v>28.701000000000001</v>
      </c>
      <c r="O11">
        <v>36.889000000000003</v>
      </c>
      <c r="S11">
        <v>8</v>
      </c>
      <c r="T11">
        <v>0.1</v>
      </c>
      <c r="U11">
        <v>37.18</v>
      </c>
      <c r="V11">
        <v>2.5630000000000002</v>
      </c>
      <c r="X11">
        <v>8</v>
      </c>
      <c r="Y11">
        <v>8.7999999999999995E-2</v>
      </c>
      <c r="Z11">
        <v>14.43</v>
      </c>
      <c r="AA11">
        <v>2.1970000000000001</v>
      </c>
      <c r="AC11">
        <v>8</v>
      </c>
      <c r="AD11">
        <v>0.14000000000000001</v>
      </c>
      <c r="AE11">
        <v>40.231999999999999</v>
      </c>
      <c r="AF11">
        <v>3.2749999999999999</v>
      </c>
      <c r="AH11">
        <v>8</v>
      </c>
      <c r="AI11">
        <v>8.4000000000000005E-2</v>
      </c>
      <c r="AJ11">
        <v>38.259</v>
      </c>
      <c r="AK11">
        <v>2.2050000000000001</v>
      </c>
      <c r="AM11">
        <v>8</v>
      </c>
      <c r="AN11">
        <v>0.13300000000000001</v>
      </c>
      <c r="AO11">
        <v>30.462</v>
      </c>
      <c r="AP11">
        <v>3.387</v>
      </c>
    </row>
    <row r="12" spans="1:42" x14ac:dyDescent="0.2">
      <c r="B12">
        <v>9</v>
      </c>
      <c r="C12">
        <v>1.7170000000000001</v>
      </c>
      <c r="D12">
        <v>28.213999999999999</v>
      </c>
      <c r="E12">
        <v>44.215000000000003</v>
      </c>
      <c r="G12">
        <v>9</v>
      </c>
      <c r="H12">
        <v>0.16200000000000001</v>
      </c>
      <c r="I12">
        <v>35.698</v>
      </c>
      <c r="J12">
        <v>3.9980000000000002</v>
      </c>
      <c r="L12">
        <v>9</v>
      </c>
      <c r="M12">
        <v>1.621</v>
      </c>
      <c r="N12">
        <v>28.358000000000001</v>
      </c>
      <c r="O12">
        <v>41.497</v>
      </c>
      <c r="S12">
        <v>9</v>
      </c>
      <c r="T12">
        <v>7.0000000000000007E-2</v>
      </c>
      <c r="U12">
        <v>26.966000000000001</v>
      </c>
      <c r="V12">
        <v>1.7649999999999999</v>
      </c>
      <c r="X12">
        <v>9</v>
      </c>
      <c r="Y12">
        <v>0.16700000000000001</v>
      </c>
      <c r="Z12">
        <v>34.28</v>
      </c>
      <c r="AA12">
        <v>4.0339999999999998</v>
      </c>
      <c r="AC12">
        <v>9</v>
      </c>
      <c r="AD12">
        <v>0.28999999999999998</v>
      </c>
      <c r="AE12">
        <v>34.795999999999999</v>
      </c>
      <c r="AF12">
        <v>7.0759999999999996</v>
      </c>
      <c r="AH12">
        <v>9</v>
      </c>
      <c r="AI12">
        <v>8.1000000000000003E-2</v>
      </c>
      <c r="AJ12">
        <v>33.29</v>
      </c>
      <c r="AK12">
        <v>2.1070000000000002</v>
      </c>
      <c r="AM12">
        <v>9</v>
      </c>
      <c r="AN12">
        <v>0.191</v>
      </c>
      <c r="AO12">
        <v>29.06</v>
      </c>
      <c r="AP12">
        <v>4.9050000000000002</v>
      </c>
    </row>
    <row r="13" spans="1:42" x14ac:dyDescent="0.2">
      <c r="B13">
        <v>10</v>
      </c>
      <c r="C13">
        <v>1.54</v>
      </c>
      <c r="D13">
        <v>30.146000000000001</v>
      </c>
      <c r="E13">
        <v>39.768999999999998</v>
      </c>
      <c r="G13">
        <v>10</v>
      </c>
      <c r="H13">
        <v>0.159</v>
      </c>
      <c r="I13">
        <v>30.588000000000001</v>
      </c>
      <c r="J13">
        <v>3.5670000000000002</v>
      </c>
      <c r="L13">
        <v>10</v>
      </c>
      <c r="M13">
        <v>1.79</v>
      </c>
      <c r="N13">
        <v>20.152999999999999</v>
      </c>
      <c r="O13">
        <v>47.152000000000001</v>
      </c>
      <c r="S13">
        <v>10</v>
      </c>
      <c r="T13">
        <v>7.5999999999999998E-2</v>
      </c>
      <c r="U13">
        <v>28.032</v>
      </c>
      <c r="V13">
        <v>1.97</v>
      </c>
      <c r="X13">
        <v>10</v>
      </c>
      <c r="Y13">
        <v>9.8000000000000004E-2</v>
      </c>
      <c r="Z13">
        <v>35.853999999999999</v>
      </c>
      <c r="AA13">
        <v>2.3109999999999999</v>
      </c>
      <c r="AC13">
        <v>10</v>
      </c>
      <c r="AD13">
        <v>0.109</v>
      </c>
      <c r="AE13">
        <v>33.106000000000002</v>
      </c>
      <c r="AF13">
        <v>2.589</v>
      </c>
      <c r="AH13">
        <v>10</v>
      </c>
      <c r="AI13">
        <v>0.24399999999999999</v>
      </c>
      <c r="AJ13">
        <v>32.698</v>
      </c>
      <c r="AK13">
        <v>5.915</v>
      </c>
      <c r="AM13">
        <v>10</v>
      </c>
      <c r="AN13">
        <v>6.0999999999999999E-2</v>
      </c>
      <c r="AO13">
        <v>30.359000000000002</v>
      </c>
      <c r="AP13">
        <v>1.667</v>
      </c>
    </row>
    <row r="14" spans="1:42" x14ac:dyDescent="0.2">
      <c r="B14">
        <v>11</v>
      </c>
      <c r="C14">
        <v>1.7549999999999999</v>
      </c>
      <c r="D14">
        <v>26.648</v>
      </c>
      <c r="E14">
        <v>45.756999999999998</v>
      </c>
      <c r="G14">
        <v>11</v>
      </c>
      <c r="H14">
        <v>8.2000000000000003E-2</v>
      </c>
      <c r="I14">
        <v>36.204999999999998</v>
      </c>
      <c r="J14">
        <v>2.0670000000000002</v>
      </c>
      <c r="L14">
        <v>11</v>
      </c>
      <c r="M14">
        <v>1.6919999999999999</v>
      </c>
      <c r="N14">
        <v>20.975000000000001</v>
      </c>
      <c r="O14">
        <v>44.756999999999998</v>
      </c>
      <c r="S14">
        <v>11</v>
      </c>
      <c r="T14">
        <v>0.10100000000000001</v>
      </c>
      <c r="U14">
        <v>38.070999999999998</v>
      </c>
      <c r="V14">
        <v>2.302</v>
      </c>
      <c r="X14">
        <v>11</v>
      </c>
      <c r="Y14">
        <v>0.112</v>
      </c>
      <c r="Z14">
        <v>18.626000000000001</v>
      </c>
      <c r="AA14">
        <v>2.6859999999999999</v>
      </c>
      <c r="AC14">
        <v>11</v>
      </c>
      <c r="AD14">
        <v>6.5000000000000002E-2</v>
      </c>
      <c r="AE14">
        <v>35.067</v>
      </c>
      <c r="AF14">
        <v>1.6679999999999999</v>
      </c>
      <c r="AH14">
        <v>11</v>
      </c>
      <c r="AI14">
        <v>0.104</v>
      </c>
      <c r="AJ14">
        <v>29.16</v>
      </c>
      <c r="AK14">
        <v>2.548</v>
      </c>
      <c r="AM14">
        <v>11</v>
      </c>
      <c r="AN14">
        <v>6.6000000000000003E-2</v>
      </c>
      <c r="AO14">
        <v>21.513999999999999</v>
      </c>
      <c r="AP14">
        <v>1.421</v>
      </c>
    </row>
    <row r="15" spans="1:42" x14ac:dyDescent="0.2">
      <c r="B15">
        <v>12</v>
      </c>
      <c r="C15">
        <v>1.6479999999999999</v>
      </c>
      <c r="D15">
        <v>31.256</v>
      </c>
      <c r="E15">
        <v>43.500999999999998</v>
      </c>
      <c r="G15">
        <v>12</v>
      </c>
      <c r="H15">
        <v>5.6000000000000001E-2</v>
      </c>
      <c r="I15">
        <v>39.689</v>
      </c>
      <c r="J15">
        <v>3.28</v>
      </c>
      <c r="L15">
        <v>12</v>
      </c>
      <c r="M15">
        <v>1.7849999999999999</v>
      </c>
      <c r="N15">
        <v>25.048999999999999</v>
      </c>
      <c r="O15">
        <v>47.149000000000001</v>
      </c>
      <c r="S15">
        <v>12</v>
      </c>
      <c r="T15">
        <v>5.6000000000000001E-2</v>
      </c>
      <c r="U15">
        <v>23.844000000000001</v>
      </c>
      <c r="V15">
        <v>1.371</v>
      </c>
      <c r="X15">
        <v>12</v>
      </c>
      <c r="Y15">
        <v>0.108</v>
      </c>
      <c r="Z15">
        <v>32.975999999999999</v>
      </c>
      <c r="AA15">
        <v>2.4220000000000002</v>
      </c>
      <c r="AC15">
        <v>12</v>
      </c>
      <c r="AD15">
        <v>0.14000000000000001</v>
      </c>
      <c r="AE15">
        <v>38.505000000000003</v>
      </c>
      <c r="AF15">
        <v>3.2989999999999999</v>
      </c>
      <c r="AH15">
        <v>12</v>
      </c>
      <c r="AI15">
        <v>0.115</v>
      </c>
      <c r="AJ15">
        <v>35.612000000000002</v>
      </c>
      <c r="AK15">
        <v>2.7429999999999999</v>
      </c>
      <c r="AM15">
        <v>12</v>
      </c>
      <c r="AN15">
        <v>0.13100000000000001</v>
      </c>
      <c r="AO15">
        <v>35.585000000000001</v>
      </c>
      <c r="AP15">
        <v>3.1030000000000002</v>
      </c>
    </row>
    <row r="16" spans="1:42" x14ac:dyDescent="0.2">
      <c r="B16">
        <v>13</v>
      </c>
      <c r="C16">
        <v>1.609</v>
      </c>
      <c r="D16">
        <v>34.591000000000001</v>
      </c>
      <c r="E16">
        <v>41.273000000000003</v>
      </c>
      <c r="G16">
        <v>13</v>
      </c>
      <c r="H16">
        <v>0.13900000000000001</v>
      </c>
      <c r="I16">
        <v>35.460999999999999</v>
      </c>
      <c r="J16">
        <v>3.214</v>
      </c>
      <c r="L16">
        <v>13</v>
      </c>
      <c r="M16">
        <v>1.571</v>
      </c>
      <c r="N16">
        <v>26.79</v>
      </c>
      <c r="O16">
        <v>40.926000000000002</v>
      </c>
      <c r="S16">
        <v>13</v>
      </c>
      <c r="T16">
        <v>3.6999999999999998E-2</v>
      </c>
      <c r="U16">
        <v>42.453000000000003</v>
      </c>
      <c r="V16">
        <v>0.84299999999999997</v>
      </c>
      <c r="X16">
        <v>13</v>
      </c>
      <c r="Y16">
        <v>0.35699999999999998</v>
      </c>
      <c r="Z16">
        <v>32.106000000000002</v>
      </c>
      <c r="AA16">
        <v>7.8520000000000003</v>
      </c>
      <c r="AC16">
        <v>13</v>
      </c>
      <c r="AD16">
        <v>0.161</v>
      </c>
      <c r="AE16">
        <v>34.039000000000001</v>
      </c>
      <c r="AF16">
        <v>4.0519999999999996</v>
      </c>
      <c r="AH16">
        <v>13</v>
      </c>
      <c r="AI16">
        <v>0.26700000000000002</v>
      </c>
      <c r="AJ16">
        <v>36.043999999999997</v>
      </c>
      <c r="AK16">
        <v>6.335</v>
      </c>
      <c r="AM16">
        <v>13</v>
      </c>
      <c r="AN16">
        <v>0.12</v>
      </c>
      <c r="AO16">
        <v>42.085999999999999</v>
      </c>
      <c r="AP16">
        <v>2.95</v>
      </c>
    </row>
    <row r="17" spans="1:43" x14ac:dyDescent="0.2">
      <c r="B17">
        <v>14</v>
      </c>
      <c r="C17">
        <v>1.6910000000000001</v>
      </c>
      <c r="D17">
        <v>35.674999999999997</v>
      </c>
      <c r="E17">
        <v>44.027000000000001</v>
      </c>
      <c r="G17">
        <v>14</v>
      </c>
      <c r="H17">
        <v>0.11</v>
      </c>
      <c r="I17">
        <v>33.863</v>
      </c>
      <c r="J17">
        <v>2.8450000000000002</v>
      </c>
      <c r="L17">
        <v>14</v>
      </c>
      <c r="M17">
        <v>1.7190000000000001</v>
      </c>
      <c r="N17">
        <v>21.504999999999999</v>
      </c>
      <c r="O17">
        <v>44.497999999999998</v>
      </c>
      <c r="S17">
        <v>14</v>
      </c>
      <c r="T17">
        <v>6.9000000000000006E-2</v>
      </c>
      <c r="U17">
        <v>39.338999999999999</v>
      </c>
      <c r="V17">
        <v>1.5620000000000001</v>
      </c>
      <c r="X17">
        <v>14</v>
      </c>
      <c r="Y17">
        <v>0.41899999999999998</v>
      </c>
      <c r="Z17">
        <v>29.861999999999998</v>
      </c>
      <c r="AA17">
        <v>9.4949999999999992</v>
      </c>
      <c r="AC17">
        <v>14</v>
      </c>
      <c r="AD17">
        <v>0.219</v>
      </c>
      <c r="AE17">
        <v>37.497999999999998</v>
      </c>
      <c r="AF17">
        <v>5.4269999999999996</v>
      </c>
      <c r="AH17">
        <v>14</v>
      </c>
      <c r="AI17">
        <v>9.1999999999999998E-2</v>
      </c>
      <c r="AJ17">
        <v>37.598999999999997</v>
      </c>
      <c r="AK17">
        <v>2.2589999999999999</v>
      </c>
      <c r="AM17">
        <v>14</v>
      </c>
      <c r="AN17">
        <v>0.255</v>
      </c>
      <c r="AO17">
        <v>37.362000000000002</v>
      </c>
      <c r="AP17">
        <v>6.266</v>
      </c>
    </row>
    <row r="18" spans="1:43" x14ac:dyDescent="0.2">
      <c r="B18">
        <v>15</v>
      </c>
      <c r="C18">
        <v>1.6040000000000001</v>
      </c>
      <c r="D18">
        <v>34.744999999999997</v>
      </c>
      <c r="E18">
        <v>40.982999999999997</v>
      </c>
      <c r="G18">
        <v>15</v>
      </c>
      <c r="H18">
        <v>9.2999999999999999E-2</v>
      </c>
      <c r="I18">
        <v>33.853999999999999</v>
      </c>
      <c r="J18">
        <v>2.4350000000000001</v>
      </c>
      <c r="L18">
        <v>15</v>
      </c>
      <c r="M18">
        <v>1.6890000000000001</v>
      </c>
      <c r="N18">
        <v>27.904</v>
      </c>
      <c r="O18">
        <v>43.741</v>
      </c>
      <c r="S18">
        <v>15</v>
      </c>
      <c r="T18">
        <v>9.7000000000000003E-2</v>
      </c>
      <c r="U18">
        <v>34.088999999999999</v>
      </c>
      <c r="V18">
        <v>2.0710000000000002</v>
      </c>
      <c r="X18">
        <v>15</v>
      </c>
      <c r="Y18">
        <v>0.19400000000000001</v>
      </c>
      <c r="Z18">
        <v>30.817</v>
      </c>
      <c r="AA18">
        <v>4.8470000000000004</v>
      </c>
      <c r="AC18">
        <v>15</v>
      </c>
      <c r="AD18">
        <v>0.129</v>
      </c>
      <c r="AE18">
        <v>32.585000000000001</v>
      </c>
      <c r="AF18">
        <v>2.9590000000000001</v>
      </c>
      <c r="AH18">
        <v>15</v>
      </c>
      <c r="AI18">
        <v>0.26200000000000001</v>
      </c>
      <c r="AJ18">
        <v>36.063000000000002</v>
      </c>
      <c r="AK18">
        <v>6.617</v>
      </c>
      <c r="AM18">
        <v>15</v>
      </c>
      <c r="AN18">
        <v>0.20200000000000001</v>
      </c>
      <c r="AO18">
        <v>39.011000000000003</v>
      </c>
      <c r="AP18">
        <v>4.7539999999999996</v>
      </c>
    </row>
    <row r="19" spans="1:43" x14ac:dyDescent="0.2">
      <c r="B19">
        <v>16</v>
      </c>
      <c r="C19">
        <v>1.5569999999999999</v>
      </c>
      <c r="D19">
        <v>33.570999999999998</v>
      </c>
      <c r="E19">
        <v>40.436</v>
      </c>
      <c r="G19">
        <v>16</v>
      </c>
      <c r="H19">
        <v>7.9000000000000001E-2</v>
      </c>
      <c r="I19">
        <v>35.795999999999999</v>
      </c>
      <c r="J19">
        <v>1.9390000000000001</v>
      </c>
      <c r="L19">
        <v>16</v>
      </c>
      <c r="M19">
        <v>1.895</v>
      </c>
      <c r="N19">
        <v>26.161000000000001</v>
      </c>
      <c r="O19">
        <v>48.930999999999997</v>
      </c>
      <c r="S19">
        <v>16</v>
      </c>
      <c r="T19">
        <v>0.13200000000000001</v>
      </c>
      <c r="U19">
        <v>4.3600000000000003</v>
      </c>
      <c r="V19">
        <v>3.2610000000000001</v>
      </c>
      <c r="X19">
        <v>16</v>
      </c>
      <c r="Y19">
        <v>4.9000000000000002E-2</v>
      </c>
      <c r="Z19">
        <v>15.013</v>
      </c>
      <c r="AA19">
        <v>1.3220000000000001</v>
      </c>
      <c r="AC19">
        <v>16</v>
      </c>
      <c r="AD19">
        <v>0.16500000000000001</v>
      </c>
      <c r="AE19">
        <v>34.494999999999997</v>
      </c>
      <c r="AF19">
        <v>4.0369999999999999</v>
      </c>
      <c r="AH19">
        <v>16</v>
      </c>
      <c r="AI19">
        <v>9.7000000000000003E-2</v>
      </c>
      <c r="AJ19">
        <v>31.704999999999998</v>
      </c>
      <c r="AK19">
        <v>2.238</v>
      </c>
      <c r="AM19">
        <v>16</v>
      </c>
      <c r="AN19">
        <v>0.35799999999999998</v>
      </c>
      <c r="AO19">
        <v>35.521000000000001</v>
      </c>
      <c r="AP19">
        <v>9.43</v>
      </c>
    </row>
    <row r="20" spans="1:43" x14ac:dyDescent="0.2">
      <c r="B20">
        <v>17</v>
      </c>
      <c r="C20">
        <v>1.4319999999999999</v>
      </c>
      <c r="D20">
        <v>30.8</v>
      </c>
      <c r="E20">
        <v>37.015000000000001</v>
      </c>
      <c r="G20">
        <v>17</v>
      </c>
      <c r="H20">
        <v>9.0999999999999998E-2</v>
      </c>
      <c r="I20">
        <v>31.274999999999999</v>
      </c>
      <c r="J20">
        <v>2.2290000000000001</v>
      </c>
      <c r="L20">
        <v>17</v>
      </c>
      <c r="M20">
        <v>1.476</v>
      </c>
      <c r="N20">
        <v>25.646999999999998</v>
      </c>
      <c r="O20">
        <v>38.433999999999997</v>
      </c>
      <c r="S20">
        <v>17</v>
      </c>
      <c r="T20">
        <v>8.1000000000000003E-2</v>
      </c>
      <c r="U20">
        <v>39.265000000000001</v>
      </c>
      <c r="V20">
        <v>1.931</v>
      </c>
      <c r="X20">
        <v>17</v>
      </c>
      <c r="Y20">
        <v>0.124</v>
      </c>
      <c r="Z20">
        <v>42.838000000000001</v>
      </c>
      <c r="AA20">
        <v>3.1110000000000002</v>
      </c>
      <c r="AC20">
        <v>17</v>
      </c>
      <c r="AD20">
        <v>0.09</v>
      </c>
      <c r="AE20">
        <v>18.634</v>
      </c>
      <c r="AF20">
        <v>2.2189999999999999</v>
      </c>
      <c r="AH20">
        <v>17</v>
      </c>
      <c r="AI20">
        <v>0.182</v>
      </c>
      <c r="AJ20">
        <v>30.097999999999999</v>
      </c>
      <c r="AK20">
        <v>4.6779999999999999</v>
      </c>
      <c r="AM20">
        <v>17</v>
      </c>
      <c r="AN20">
        <v>0.14499999999999999</v>
      </c>
      <c r="AO20">
        <v>34.143000000000001</v>
      </c>
      <c r="AP20">
        <v>3.4409999999999998</v>
      </c>
    </row>
    <row r="21" spans="1:43" x14ac:dyDescent="0.2">
      <c r="B21">
        <v>18</v>
      </c>
      <c r="C21">
        <v>1.234</v>
      </c>
      <c r="D21">
        <v>23.503</v>
      </c>
      <c r="E21">
        <v>32.866</v>
      </c>
      <c r="G21">
        <v>18</v>
      </c>
      <c r="H21">
        <v>6.4000000000000001E-2</v>
      </c>
      <c r="I21">
        <v>36.920999999999999</v>
      </c>
      <c r="J21">
        <v>3.7370000000000001</v>
      </c>
      <c r="L21">
        <v>18</v>
      </c>
      <c r="M21">
        <v>1.8240000000000001</v>
      </c>
      <c r="N21">
        <v>23.146000000000001</v>
      </c>
      <c r="O21">
        <v>47.66</v>
      </c>
      <c r="X21">
        <v>18</v>
      </c>
      <c r="Y21">
        <v>0.189</v>
      </c>
      <c r="Z21">
        <v>26.271999999999998</v>
      </c>
      <c r="AA21">
        <v>4.6219999999999999</v>
      </c>
      <c r="AC21">
        <v>18</v>
      </c>
      <c r="AD21">
        <v>7.0000000000000007E-2</v>
      </c>
      <c r="AE21">
        <v>17.332000000000001</v>
      </c>
      <c r="AF21">
        <v>1.7010000000000001</v>
      </c>
      <c r="AH21">
        <v>18</v>
      </c>
      <c r="AI21">
        <v>0.03</v>
      </c>
      <c r="AJ21">
        <v>45.863999999999997</v>
      </c>
      <c r="AK21">
        <v>0.77600000000000002</v>
      </c>
      <c r="AM21">
        <v>18</v>
      </c>
      <c r="AN21">
        <v>0.14699999999999999</v>
      </c>
      <c r="AO21">
        <v>38.441000000000003</v>
      </c>
      <c r="AP21">
        <v>3.8889999999999998</v>
      </c>
    </row>
    <row r="22" spans="1:43" x14ac:dyDescent="0.2">
      <c r="B22">
        <v>19</v>
      </c>
      <c r="C22">
        <v>1.5009999999999999</v>
      </c>
      <c r="D22">
        <v>26.600999999999999</v>
      </c>
      <c r="E22">
        <v>38.554000000000002</v>
      </c>
      <c r="G22">
        <v>19</v>
      </c>
      <c r="H22">
        <v>8.3000000000000004E-2</v>
      </c>
      <c r="I22">
        <v>46.411000000000001</v>
      </c>
      <c r="J22">
        <v>2.1869999999999998</v>
      </c>
      <c r="L22">
        <v>19</v>
      </c>
      <c r="M22">
        <v>1.31</v>
      </c>
      <c r="N22">
        <v>20.422000000000001</v>
      </c>
      <c r="O22">
        <v>33.994999999999997</v>
      </c>
      <c r="X22">
        <v>19</v>
      </c>
      <c r="Y22">
        <v>0.42299999999999999</v>
      </c>
      <c r="Z22">
        <v>26.414999999999999</v>
      </c>
      <c r="AA22">
        <v>9.391</v>
      </c>
      <c r="AC22">
        <v>19</v>
      </c>
      <c r="AD22">
        <v>0.155</v>
      </c>
      <c r="AE22">
        <v>25.716999999999999</v>
      </c>
      <c r="AF22">
        <v>3.762</v>
      </c>
      <c r="AH22">
        <v>19</v>
      </c>
      <c r="AI22">
        <v>0.13500000000000001</v>
      </c>
      <c r="AJ22">
        <v>35.280999999999999</v>
      </c>
      <c r="AK22">
        <v>3.1779999999999999</v>
      </c>
      <c r="AM22">
        <v>19</v>
      </c>
      <c r="AN22">
        <v>0.13800000000000001</v>
      </c>
      <c r="AO22">
        <v>37.079000000000001</v>
      </c>
      <c r="AP22">
        <v>3.1669999999999998</v>
      </c>
    </row>
    <row r="23" spans="1:43" x14ac:dyDescent="0.2">
      <c r="X23">
        <v>20</v>
      </c>
      <c r="Y23">
        <v>7.4999999999999997E-2</v>
      </c>
      <c r="Z23">
        <v>30.155000000000001</v>
      </c>
      <c r="AA23">
        <v>1.97</v>
      </c>
      <c r="AM23">
        <v>20</v>
      </c>
      <c r="AN23">
        <v>0.122</v>
      </c>
      <c r="AO23">
        <v>32.966000000000001</v>
      </c>
      <c r="AP23">
        <v>2.774</v>
      </c>
    </row>
    <row r="24" spans="1:43" x14ac:dyDescent="0.2">
      <c r="X24">
        <v>21</v>
      </c>
      <c r="Y24">
        <v>0.33300000000000002</v>
      </c>
      <c r="Z24">
        <v>26.978000000000002</v>
      </c>
      <c r="AA24">
        <v>8.1920000000000002</v>
      </c>
      <c r="AM24">
        <v>21</v>
      </c>
      <c r="AN24">
        <v>6.5000000000000002E-2</v>
      </c>
      <c r="AO24">
        <v>34.988</v>
      </c>
      <c r="AP24">
        <v>1.5880000000000001</v>
      </c>
    </row>
    <row r="25" spans="1:43" x14ac:dyDescent="0.2">
      <c r="F25" t="s">
        <v>37</v>
      </c>
      <c r="K25" t="s">
        <v>37</v>
      </c>
      <c r="P25" s="2" t="s">
        <v>37</v>
      </c>
      <c r="W25" s="2" t="s">
        <v>37</v>
      </c>
      <c r="X25">
        <v>22</v>
      </c>
      <c r="Y25">
        <v>5.8999999999999997E-2</v>
      </c>
      <c r="Z25">
        <v>30.167999999999999</v>
      </c>
      <c r="AA25">
        <v>1.3260000000000001</v>
      </c>
      <c r="AB25" s="2" t="s">
        <v>37</v>
      </c>
      <c r="AG25" s="2" t="s">
        <v>37</v>
      </c>
      <c r="AL25" s="2" t="s">
        <v>37</v>
      </c>
      <c r="AM25">
        <v>22</v>
      </c>
      <c r="AN25">
        <v>9.7000000000000003E-2</v>
      </c>
      <c r="AO25">
        <v>25.106999999999999</v>
      </c>
      <c r="AP25">
        <v>2.278</v>
      </c>
      <c r="AQ25" s="2" t="s">
        <v>37</v>
      </c>
    </row>
    <row r="26" spans="1:43" x14ac:dyDescent="0.2">
      <c r="A26" t="s">
        <v>11</v>
      </c>
      <c r="E26">
        <f>AVERAGE(E4:E22)</f>
        <v>39.043684210526315</v>
      </c>
      <c r="F26">
        <f>(E26/E26)*100</f>
        <v>100</v>
      </c>
      <c r="J26">
        <f>AVERAGE(J4:J22)</f>
        <v>3.050842105263158</v>
      </c>
      <c r="K26">
        <f>(J26/E26)*100</f>
        <v>7.8139196311823467</v>
      </c>
      <c r="O26">
        <f>AVERAGE(O4:O22)</f>
        <v>40.672526315789476</v>
      </c>
      <c r="P26">
        <f>(O26/E26)*100</f>
        <v>104.17184530148418</v>
      </c>
      <c r="R26">
        <v>0</v>
      </c>
      <c r="V26">
        <f>AVERAGE(V4:V20)</f>
        <v>2.0587058823529412</v>
      </c>
      <c r="W26">
        <f>(V26/E26)*100</f>
        <v>5.2728268962843075</v>
      </c>
      <c r="AA26">
        <f>AVERAGE(AA4:AA25)</f>
        <v>4.548454545454546</v>
      </c>
      <c r="AB26">
        <f>(AA26/E26)*100</f>
        <v>11.649655091279184</v>
      </c>
      <c r="AF26">
        <f>AVERAGE(AF4:AF22)</f>
        <v>4.1423684210526304</v>
      </c>
      <c r="AG26">
        <f>(AF26/E26)*100</f>
        <v>10.609573621988861</v>
      </c>
      <c r="AK26">
        <f>AVERAGE(AK4:AK22)</f>
        <v>3.6765263157894736</v>
      </c>
      <c r="AL26">
        <f>(AK26/E26)*100</f>
        <v>9.4164431203914649</v>
      </c>
      <c r="AP26">
        <f>AVERAGE(AP4:AP25)</f>
        <v>4.1242272727272731</v>
      </c>
      <c r="AQ26">
        <f>(AP26/E26)*100</f>
        <v>10.563109901435395</v>
      </c>
    </row>
    <row r="27" spans="1:43" x14ac:dyDescent="0.2">
      <c r="A27" t="s">
        <v>13</v>
      </c>
      <c r="E27">
        <f>STDEVA(E4:E22)</f>
        <v>5.133504792078468</v>
      </c>
      <c r="J27">
        <f>STDEVA(J4:J22)</f>
        <v>1.2328240057849973</v>
      </c>
      <c r="O27">
        <f>STDEVA(O4:O22)</f>
        <v>5.3176429131756251</v>
      </c>
      <c r="V27">
        <f>STDEVA(V4:V20)</f>
        <v>0.74570635681093445</v>
      </c>
      <c r="AA27">
        <f>STDEVA(AA4:AA25)</f>
        <v>2.6600583367622517</v>
      </c>
      <c r="AF27">
        <f>STDEVA(AF4:AF22)</f>
        <v>1.8737891856558218</v>
      </c>
      <c r="AK27">
        <f>STDEVA(AK4:AK22)</f>
        <v>2.0327795521409446</v>
      </c>
      <c r="AP27">
        <f>STDEVA(AP4:AP25)</f>
        <v>2.2901019509811009</v>
      </c>
    </row>
    <row r="30" spans="1:43" x14ac:dyDescent="0.2"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</row>
    <row r="31" spans="1:43" x14ac:dyDescent="0.2">
      <c r="C31" t="s">
        <v>1</v>
      </c>
      <c r="D31" t="s">
        <v>3</v>
      </c>
      <c r="E31" t="s">
        <v>4</v>
      </c>
      <c r="F31" t="s">
        <v>22</v>
      </c>
      <c r="G31" t="s">
        <v>20</v>
      </c>
      <c r="H31" t="s">
        <v>17</v>
      </c>
      <c r="I31" t="s">
        <v>19</v>
      </c>
      <c r="J31" t="s">
        <v>21</v>
      </c>
      <c r="K31" t="s">
        <v>16</v>
      </c>
    </row>
    <row r="32" spans="1:43" x14ac:dyDescent="0.2">
      <c r="B32" t="s">
        <v>11</v>
      </c>
      <c r="C32">
        <v>39.043684210526315</v>
      </c>
      <c r="D32">
        <v>2.6824210526315788</v>
      </c>
      <c r="E32">
        <v>40.672526315789476</v>
      </c>
      <c r="F32">
        <v>4.548454545454546</v>
      </c>
      <c r="G32">
        <v>3.6765263157894736</v>
      </c>
      <c r="H32">
        <v>2.0587058823529412</v>
      </c>
      <c r="I32">
        <v>4.1423684210526304</v>
      </c>
      <c r="J32">
        <v>4.1242272727272731</v>
      </c>
      <c r="K32">
        <v>0</v>
      </c>
    </row>
    <row r="33" spans="2:30" x14ac:dyDescent="0.2">
      <c r="B33" t="s">
        <v>13</v>
      </c>
      <c r="C33">
        <v>5.133504792078468</v>
      </c>
      <c r="D33">
        <v>1.231084269874392</v>
      </c>
      <c r="E33">
        <v>5.3176429131756251</v>
      </c>
      <c r="F33">
        <v>2.6600583367622517</v>
      </c>
      <c r="G33">
        <v>2.0327795521409446</v>
      </c>
      <c r="H33">
        <v>0.74570635681093445</v>
      </c>
      <c r="I33">
        <v>1.8737891856558218</v>
      </c>
      <c r="J33">
        <v>2.2901019509811009</v>
      </c>
      <c r="K33">
        <v>0</v>
      </c>
    </row>
    <row r="34" spans="2:30" x14ac:dyDescent="0.2">
      <c r="C34">
        <f>(C33/C32)*100</f>
        <v>13.148105502539787</v>
      </c>
      <c r="D34">
        <f>(D33/C$32)*100</f>
        <v>3.1530945267262647</v>
      </c>
      <c r="E34">
        <f>(E33/C$32)*100</f>
        <v>13.619726264823056</v>
      </c>
      <c r="F34">
        <f>(F33/C$32)*100</f>
        <v>6.8130310716043807</v>
      </c>
      <c r="G34">
        <f>(G33/C$32)*100</f>
        <v>5.2064235054767201</v>
      </c>
      <c r="H34">
        <f>(H33/C$32)*100</f>
        <v>1.9099282557200108</v>
      </c>
      <c r="I34">
        <f>(I33/C$32)*100</f>
        <v>4.7992120199318729</v>
      </c>
      <c r="J34">
        <f>(J33/C$32)*100</f>
        <v>5.8654863066525911</v>
      </c>
      <c r="K34">
        <f t="shared" ref="K34" si="0">(K33/J$32)*100</f>
        <v>0</v>
      </c>
    </row>
    <row r="38" spans="2:30" x14ac:dyDescent="0.2">
      <c r="V38" t="s">
        <v>1</v>
      </c>
      <c r="W38" t="s">
        <v>3</v>
      </c>
      <c r="X38" t="s">
        <v>4</v>
      </c>
      <c r="Y38" t="s">
        <v>21</v>
      </c>
      <c r="Z38" t="s">
        <v>22</v>
      </c>
      <c r="AA38" t="s">
        <v>19</v>
      </c>
      <c r="AB38" t="s">
        <v>20</v>
      </c>
      <c r="AC38" t="s">
        <v>16</v>
      </c>
      <c r="AD38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4AA5-D88C-6540-9302-EABE026DAA3E}">
  <dimension ref="A1:K97"/>
  <sheetViews>
    <sheetView topLeftCell="A76" workbookViewId="0">
      <selection activeCell="D89" sqref="D89:D97"/>
    </sheetView>
  </sheetViews>
  <sheetFormatPr baseColWidth="10" defaultColWidth="8.83203125" defaultRowHeight="15" x14ac:dyDescent="0.2"/>
  <cols>
    <col min="6" max="6" width="12.33203125" customWidth="1"/>
    <col min="7" max="7" width="26.33203125" customWidth="1"/>
    <col min="8" max="8" width="10.33203125" customWidth="1"/>
  </cols>
  <sheetData>
    <row r="1" spans="1:11" x14ac:dyDescent="0.2">
      <c r="A1" s="1" t="s">
        <v>23</v>
      </c>
      <c r="B1" s="1"/>
      <c r="C1" s="1"/>
      <c r="D1" s="1"/>
      <c r="E1" s="1"/>
    </row>
    <row r="3" spans="1:11" x14ac:dyDescent="0.2">
      <c r="A3" t="s">
        <v>24</v>
      </c>
      <c r="E3" t="s">
        <v>11</v>
      </c>
      <c r="F3" t="s">
        <v>25</v>
      </c>
      <c r="H3" t="s">
        <v>26</v>
      </c>
      <c r="I3" t="s">
        <v>12</v>
      </c>
    </row>
    <row r="4" spans="1:11" x14ac:dyDescent="0.2">
      <c r="B4" t="s">
        <v>27</v>
      </c>
      <c r="C4" t="s">
        <v>12</v>
      </c>
      <c r="D4" t="s">
        <v>28</v>
      </c>
      <c r="G4" t="s">
        <v>24</v>
      </c>
      <c r="H4">
        <v>22.536428571428569</v>
      </c>
      <c r="I4">
        <v>3.5095118301146084</v>
      </c>
      <c r="J4">
        <f>(H4/H$4)*100</f>
        <v>100</v>
      </c>
      <c r="K4">
        <f>(I4/H4)*100</f>
        <v>15.572617546703599</v>
      </c>
    </row>
    <row r="5" spans="1:11" x14ac:dyDescent="0.2">
      <c r="A5">
        <v>1</v>
      </c>
      <c r="B5">
        <v>0.46100000000000002</v>
      </c>
      <c r="C5">
        <v>24.902000000000001</v>
      </c>
      <c r="D5">
        <v>16.745000000000001</v>
      </c>
      <c r="G5" t="s">
        <v>3</v>
      </c>
      <c r="H5">
        <v>2.7505000000000006</v>
      </c>
      <c r="I5">
        <v>1.8813279504495892</v>
      </c>
      <c r="J5">
        <f>(H5/H$4)*100</f>
        <v>12.204684479097338</v>
      </c>
      <c r="K5">
        <f>((I5/H5)*100)/J5</f>
        <v>5.6043635800070533</v>
      </c>
    </row>
    <row r="6" spans="1:11" x14ac:dyDescent="0.2">
      <c r="A6">
        <v>2</v>
      </c>
      <c r="B6">
        <v>0.64600000000000002</v>
      </c>
      <c r="C6">
        <v>17.66</v>
      </c>
      <c r="D6">
        <v>23.722999999999999</v>
      </c>
      <c r="G6" t="s">
        <v>29</v>
      </c>
      <c r="H6">
        <v>22.291999999999998</v>
      </c>
      <c r="I6">
        <v>1.9747121309193396</v>
      </c>
      <c r="J6">
        <f t="shared" ref="J6:J21" si="0">(H6/H$4)*100</f>
        <v>98.91540680168616</v>
      </c>
      <c r="K6">
        <f>((I6/H6)*100)</f>
        <v>8.8583892469017567</v>
      </c>
    </row>
    <row r="7" spans="1:11" x14ac:dyDescent="0.2">
      <c r="A7">
        <v>3</v>
      </c>
      <c r="B7">
        <v>0.59399999999999997</v>
      </c>
      <c r="C7">
        <v>16.247</v>
      </c>
      <c r="D7">
        <v>22.125</v>
      </c>
      <c r="G7" t="s">
        <v>30</v>
      </c>
      <c r="H7">
        <v>2.3654444444444445</v>
      </c>
      <c r="I7">
        <v>0.9750025783441687</v>
      </c>
      <c r="J7">
        <f t="shared" si="0"/>
        <v>10.496092745783724</v>
      </c>
      <c r="K7">
        <f t="shared" ref="K7:K12" si="1">((I7/H7)*100)/J7</f>
        <v>3.9270402454449544</v>
      </c>
    </row>
    <row r="8" spans="1:11" x14ac:dyDescent="0.2">
      <c r="A8">
        <v>4</v>
      </c>
      <c r="B8">
        <v>0.60299999999999998</v>
      </c>
      <c r="C8">
        <v>13.613</v>
      </c>
      <c r="D8">
        <v>21.771000000000001</v>
      </c>
      <c r="G8" t="s">
        <v>31</v>
      </c>
      <c r="H8">
        <v>1.4955555555555555</v>
      </c>
      <c r="I8">
        <v>0.23465459249240719</v>
      </c>
      <c r="J8">
        <f t="shared" si="0"/>
        <v>6.6361693061322242</v>
      </c>
      <c r="K8">
        <f t="shared" si="1"/>
        <v>2.3643352130007567</v>
      </c>
    </row>
    <row r="9" spans="1:11" x14ac:dyDescent="0.2">
      <c r="A9">
        <v>5</v>
      </c>
      <c r="B9">
        <v>0.79300000000000004</v>
      </c>
      <c r="C9">
        <v>22.225000000000001</v>
      </c>
      <c r="D9">
        <v>28.706</v>
      </c>
      <c r="G9" t="s">
        <v>32</v>
      </c>
      <c r="H9">
        <v>3.1872222222222222</v>
      </c>
      <c r="I9">
        <v>2.0669555980824654</v>
      </c>
      <c r="J9">
        <f t="shared" si="0"/>
        <v>14.142534661694119</v>
      </c>
      <c r="K9">
        <f t="shared" si="1"/>
        <v>4.5855512398900169</v>
      </c>
    </row>
    <row r="10" spans="1:11" x14ac:dyDescent="0.2">
      <c r="A10">
        <v>6</v>
      </c>
      <c r="B10">
        <v>0.61299999999999999</v>
      </c>
      <c r="C10">
        <v>21.416</v>
      </c>
      <c r="D10">
        <v>22.512</v>
      </c>
      <c r="G10" t="s">
        <v>33</v>
      </c>
      <c r="H10">
        <v>2.566875</v>
      </c>
      <c r="I10">
        <v>1.5208587271200249</v>
      </c>
      <c r="J10">
        <f t="shared" si="0"/>
        <v>11.389892554911098</v>
      </c>
      <c r="K10">
        <f t="shared" si="1"/>
        <v>5.2019302753898335</v>
      </c>
    </row>
    <row r="11" spans="1:11" x14ac:dyDescent="0.2">
      <c r="A11">
        <v>7</v>
      </c>
      <c r="B11">
        <v>0.59599999999999997</v>
      </c>
      <c r="C11">
        <v>25.867000000000001</v>
      </c>
      <c r="D11">
        <v>22.172999999999998</v>
      </c>
      <c r="E11">
        <f>AVERAGE(D5:D11)</f>
        <v>22.536428571428569</v>
      </c>
      <c r="F11">
        <f>STDEVA(D5:D11)</f>
        <v>3.5095118301146084</v>
      </c>
      <c r="G11" t="s">
        <v>34</v>
      </c>
      <c r="H11">
        <v>3.7076666666666664</v>
      </c>
      <c r="I11">
        <v>2.583447164158772</v>
      </c>
      <c r="J11">
        <f t="shared" si="0"/>
        <v>16.451882137914279</v>
      </c>
      <c r="K11">
        <f t="shared" si="1"/>
        <v>4.2352915511150471</v>
      </c>
    </row>
    <row r="12" spans="1:11" x14ac:dyDescent="0.2">
      <c r="G12" t="s">
        <v>35</v>
      </c>
      <c r="H12">
        <v>2.0982222222222222</v>
      </c>
      <c r="I12">
        <v>0.84303199491148895</v>
      </c>
      <c r="J12">
        <f t="shared" si="0"/>
        <v>9.3103581855126993</v>
      </c>
      <c r="K12">
        <f t="shared" si="1"/>
        <v>4.315450959552587</v>
      </c>
    </row>
    <row r="13" spans="1:11" x14ac:dyDescent="0.2">
      <c r="A13" t="s">
        <v>3</v>
      </c>
      <c r="J13">
        <f t="shared" si="0"/>
        <v>0</v>
      </c>
    </row>
    <row r="14" spans="1:11" x14ac:dyDescent="0.2">
      <c r="A14">
        <v>1</v>
      </c>
      <c r="B14">
        <v>7.1999999999999995E-2</v>
      </c>
      <c r="C14">
        <v>22.117999999999999</v>
      </c>
      <c r="D14">
        <v>2.3210000000000002</v>
      </c>
      <c r="J14">
        <f t="shared" si="0"/>
        <v>0</v>
      </c>
    </row>
    <row r="15" spans="1:11" x14ac:dyDescent="0.2">
      <c r="A15">
        <v>2</v>
      </c>
      <c r="B15">
        <v>4.7E-2</v>
      </c>
      <c r="C15">
        <v>15.614000000000001</v>
      </c>
      <c r="D15">
        <v>1.7669999999999999</v>
      </c>
      <c r="J15">
        <f t="shared" si="0"/>
        <v>0</v>
      </c>
    </row>
    <row r="16" spans="1:11" x14ac:dyDescent="0.2">
      <c r="A16">
        <v>3</v>
      </c>
      <c r="B16">
        <v>0.17299999999999999</v>
      </c>
      <c r="C16">
        <v>23.38</v>
      </c>
      <c r="D16">
        <v>6.18</v>
      </c>
      <c r="J16">
        <f t="shared" si="0"/>
        <v>0</v>
      </c>
    </row>
    <row r="17" spans="1:10" x14ac:dyDescent="0.2">
      <c r="A17">
        <v>4</v>
      </c>
      <c r="B17">
        <v>0.06</v>
      </c>
      <c r="C17">
        <v>17.79</v>
      </c>
      <c r="D17">
        <v>1.804</v>
      </c>
      <c r="J17">
        <f t="shared" si="0"/>
        <v>0</v>
      </c>
    </row>
    <row r="18" spans="1:10" x14ac:dyDescent="0.2">
      <c r="A18">
        <v>5</v>
      </c>
      <c r="B18">
        <v>0.16900000000000001</v>
      </c>
      <c r="C18">
        <v>22.419</v>
      </c>
      <c r="D18">
        <v>5.3049999999999997</v>
      </c>
      <c r="J18">
        <f t="shared" si="0"/>
        <v>0</v>
      </c>
    </row>
    <row r="19" spans="1:10" x14ac:dyDescent="0.2">
      <c r="A19">
        <v>6</v>
      </c>
      <c r="B19">
        <v>5.0999999999999997E-2</v>
      </c>
      <c r="C19">
        <v>6.141</v>
      </c>
      <c r="D19">
        <v>1.7250000000000001</v>
      </c>
      <c r="J19">
        <f t="shared" si="0"/>
        <v>0</v>
      </c>
    </row>
    <row r="20" spans="1:10" x14ac:dyDescent="0.2">
      <c r="A20">
        <v>7</v>
      </c>
      <c r="B20">
        <v>0.04</v>
      </c>
      <c r="C20">
        <v>18.274999999999999</v>
      </c>
      <c r="D20">
        <v>1.373</v>
      </c>
      <c r="J20">
        <f t="shared" si="0"/>
        <v>0</v>
      </c>
    </row>
    <row r="21" spans="1:10" x14ac:dyDescent="0.2">
      <c r="A21">
        <v>8</v>
      </c>
      <c r="B21">
        <v>5.0999999999999997E-2</v>
      </c>
      <c r="C21">
        <v>17.416</v>
      </c>
      <c r="D21">
        <v>1.5289999999999999</v>
      </c>
      <c r="E21">
        <f>AVERAGE(D14:D21)</f>
        <v>2.7505000000000006</v>
      </c>
      <c r="F21">
        <f>STDEVA(D14:D21)</f>
        <v>1.8813279504495892</v>
      </c>
      <c r="J21">
        <f t="shared" si="0"/>
        <v>0</v>
      </c>
    </row>
    <row r="23" spans="1:10" x14ac:dyDescent="0.2">
      <c r="A23" t="s">
        <v>29</v>
      </c>
    </row>
    <row r="24" spans="1:10" x14ac:dyDescent="0.2">
      <c r="A24">
        <v>1</v>
      </c>
      <c r="B24">
        <v>0.627</v>
      </c>
      <c r="C24">
        <v>11.212999999999999</v>
      </c>
      <c r="D24">
        <v>21.35</v>
      </c>
    </row>
    <row r="25" spans="1:10" x14ac:dyDescent="0.2">
      <c r="A25">
        <v>2</v>
      </c>
      <c r="B25">
        <v>0.71</v>
      </c>
      <c r="C25">
        <v>14.491</v>
      </c>
      <c r="D25">
        <v>24.526</v>
      </c>
    </row>
    <row r="26" spans="1:10" x14ac:dyDescent="0.2">
      <c r="A26">
        <v>3</v>
      </c>
      <c r="B26">
        <v>0.54200000000000004</v>
      </c>
      <c r="C26">
        <v>13.731999999999999</v>
      </c>
      <c r="D26">
        <v>18.291</v>
      </c>
    </row>
    <row r="27" spans="1:10" x14ac:dyDescent="0.2">
      <c r="A27">
        <v>4</v>
      </c>
      <c r="B27">
        <v>0.61899999999999999</v>
      </c>
      <c r="C27">
        <v>13.218999999999999</v>
      </c>
      <c r="D27">
        <v>21.838000000000001</v>
      </c>
    </row>
    <row r="28" spans="1:10" x14ac:dyDescent="0.2">
      <c r="A28">
        <v>5</v>
      </c>
      <c r="B28">
        <v>0.60299999999999998</v>
      </c>
      <c r="C28">
        <v>12.744</v>
      </c>
      <c r="D28">
        <v>21.463000000000001</v>
      </c>
    </row>
    <row r="29" spans="1:10" x14ac:dyDescent="0.2">
      <c r="A29">
        <v>6</v>
      </c>
      <c r="B29">
        <v>0.622</v>
      </c>
      <c r="C29">
        <v>16.463999999999999</v>
      </c>
      <c r="D29">
        <v>21.782</v>
      </c>
    </row>
    <row r="30" spans="1:10" x14ac:dyDescent="0.2">
      <c r="A30">
        <v>7</v>
      </c>
      <c r="B30">
        <v>0.69599999999999995</v>
      </c>
      <c r="C30">
        <v>17.698</v>
      </c>
      <c r="D30">
        <v>24.706</v>
      </c>
    </row>
    <row r="31" spans="1:10" x14ac:dyDescent="0.2">
      <c r="A31">
        <v>8</v>
      </c>
      <c r="B31">
        <v>0.65300000000000002</v>
      </c>
      <c r="C31">
        <v>15.257999999999999</v>
      </c>
      <c r="D31">
        <v>23.062999999999999</v>
      </c>
    </row>
    <row r="32" spans="1:10" x14ac:dyDescent="0.2">
      <c r="A32">
        <v>9</v>
      </c>
      <c r="B32">
        <v>0.64600000000000002</v>
      </c>
      <c r="C32">
        <v>18.204000000000001</v>
      </c>
      <c r="D32">
        <v>23.609000000000002</v>
      </c>
      <c r="E32">
        <f>AVERAGE(D24:D32)</f>
        <v>22.291999999999998</v>
      </c>
      <c r="F32">
        <f>STDEVA(D24:D32)</f>
        <v>1.9747121309193396</v>
      </c>
    </row>
    <row r="34" spans="1:6" x14ac:dyDescent="0.2">
      <c r="A34" t="s">
        <v>30</v>
      </c>
    </row>
    <row r="35" spans="1:6" x14ac:dyDescent="0.2">
      <c r="A35">
        <v>1</v>
      </c>
      <c r="B35">
        <v>5.8000000000000003E-2</v>
      </c>
      <c r="C35">
        <v>5.2670000000000003</v>
      </c>
      <c r="D35">
        <v>1.736</v>
      </c>
    </row>
    <row r="36" spans="1:6" x14ac:dyDescent="0.2">
      <c r="A36">
        <v>2</v>
      </c>
      <c r="B36">
        <v>7.9000000000000001E-2</v>
      </c>
      <c r="C36">
        <v>10.55</v>
      </c>
      <c r="D36">
        <v>2.68</v>
      </c>
    </row>
    <row r="37" spans="1:6" x14ac:dyDescent="0.2">
      <c r="A37">
        <v>3</v>
      </c>
      <c r="B37">
        <v>3.6999999999999998E-2</v>
      </c>
      <c r="C37">
        <v>24.481000000000002</v>
      </c>
      <c r="D37">
        <v>1.22</v>
      </c>
    </row>
    <row r="38" spans="1:6" x14ac:dyDescent="0.2">
      <c r="A38">
        <v>4</v>
      </c>
      <c r="B38">
        <v>9.4E-2</v>
      </c>
      <c r="C38">
        <v>16.998999999999999</v>
      </c>
      <c r="D38">
        <v>3.3460000000000001</v>
      </c>
    </row>
    <row r="39" spans="1:6" x14ac:dyDescent="0.2">
      <c r="A39">
        <v>5</v>
      </c>
      <c r="B39">
        <v>5.5E-2</v>
      </c>
      <c r="C39">
        <v>18.55</v>
      </c>
      <c r="D39">
        <v>1.6910000000000001</v>
      </c>
    </row>
    <row r="40" spans="1:6" x14ac:dyDescent="0.2">
      <c r="A40">
        <v>6</v>
      </c>
      <c r="B40">
        <v>5.1999999999999998E-2</v>
      </c>
      <c r="C40">
        <v>18.387</v>
      </c>
      <c r="D40">
        <v>1.768</v>
      </c>
    </row>
    <row r="41" spans="1:6" x14ac:dyDescent="0.2">
      <c r="A41">
        <v>7</v>
      </c>
      <c r="B41">
        <v>0.122</v>
      </c>
      <c r="C41">
        <v>22.617000000000001</v>
      </c>
      <c r="D41">
        <v>4.1210000000000004</v>
      </c>
    </row>
    <row r="42" spans="1:6" x14ac:dyDescent="0.2">
      <c r="A42">
        <v>8</v>
      </c>
      <c r="B42">
        <v>5.3999999999999999E-2</v>
      </c>
      <c r="C42">
        <v>25.943999999999999</v>
      </c>
      <c r="D42">
        <v>1.677</v>
      </c>
    </row>
    <row r="43" spans="1:6" x14ac:dyDescent="0.2">
      <c r="A43">
        <v>9</v>
      </c>
      <c r="B43">
        <v>8.2000000000000003E-2</v>
      </c>
      <c r="C43">
        <v>25.494</v>
      </c>
      <c r="D43">
        <v>3.05</v>
      </c>
      <c r="E43">
        <f>AVERAGE(D35:D43)</f>
        <v>2.3654444444444445</v>
      </c>
      <c r="F43">
        <f>STDEVA(D35:D43)</f>
        <v>0.9750025783441687</v>
      </c>
    </row>
    <row r="45" spans="1:6" x14ac:dyDescent="0.2">
      <c r="A45" t="s">
        <v>31</v>
      </c>
    </row>
    <row r="46" spans="1:6" x14ac:dyDescent="0.2">
      <c r="A46">
        <v>1</v>
      </c>
      <c r="B46">
        <v>0.05</v>
      </c>
      <c r="C46">
        <v>22.533000000000001</v>
      </c>
      <c r="D46">
        <v>1.82</v>
      </c>
    </row>
    <row r="47" spans="1:6" x14ac:dyDescent="0.2">
      <c r="A47">
        <v>2</v>
      </c>
      <c r="B47">
        <v>5.3999999999999999E-2</v>
      </c>
      <c r="C47">
        <v>12.093999999999999</v>
      </c>
      <c r="D47">
        <v>1.8560000000000001</v>
      </c>
    </row>
    <row r="48" spans="1:6" x14ac:dyDescent="0.2">
      <c r="A48">
        <v>3</v>
      </c>
      <c r="B48">
        <v>0.04</v>
      </c>
      <c r="C48">
        <v>23.577000000000002</v>
      </c>
      <c r="D48">
        <v>1.488</v>
      </c>
    </row>
    <row r="49" spans="1:6" x14ac:dyDescent="0.2">
      <c r="A49">
        <v>4</v>
      </c>
      <c r="B49">
        <v>4.8000000000000001E-2</v>
      </c>
      <c r="C49">
        <v>16.462</v>
      </c>
      <c r="D49">
        <v>1.403</v>
      </c>
    </row>
    <row r="50" spans="1:6" x14ac:dyDescent="0.2">
      <c r="A50">
        <v>5</v>
      </c>
      <c r="B50">
        <v>3.5000000000000003E-2</v>
      </c>
      <c r="C50">
        <v>19.968</v>
      </c>
      <c r="D50">
        <v>1.1739999999999999</v>
      </c>
    </row>
    <row r="51" spans="1:6" x14ac:dyDescent="0.2">
      <c r="A51">
        <v>6</v>
      </c>
      <c r="B51">
        <v>4.2000000000000003E-2</v>
      </c>
      <c r="C51">
        <v>12.321999999999999</v>
      </c>
      <c r="D51">
        <v>1.5549999999999999</v>
      </c>
    </row>
    <row r="52" spans="1:6" x14ac:dyDescent="0.2">
      <c r="A52">
        <v>7</v>
      </c>
      <c r="B52">
        <v>4.2000000000000003E-2</v>
      </c>
      <c r="C52">
        <v>23.562000000000001</v>
      </c>
      <c r="D52">
        <v>1.363</v>
      </c>
    </row>
    <row r="53" spans="1:6" x14ac:dyDescent="0.2">
      <c r="A53">
        <v>8</v>
      </c>
      <c r="B53">
        <v>4.2000000000000003E-2</v>
      </c>
      <c r="C53">
        <v>27.152999999999999</v>
      </c>
      <c r="D53">
        <v>1.5649999999999999</v>
      </c>
    </row>
    <row r="54" spans="1:6" x14ac:dyDescent="0.2">
      <c r="A54">
        <v>9</v>
      </c>
      <c r="B54">
        <v>3.3000000000000002E-2</v>
      </c>
      <c r="C54">
        <v>21.766999999999999</v>
      </c>
      <c r="D54">
        <v>1.236</v>
      </c>
      <c r="E54">
        <f>AVERAGE(D46:D54)</f>
        <v>1.4955555555555555</v>
      </c>
      <c r="F54">
        <f>STDEVA(D46:D54)</f>
        <v>0.23465459249240719</v>
      </c>
    </row>
    <row r="56" spans="1:6" x14ac:dyDescent="0.2">
      <c r="A56" t="s">
        <v>32</v>
      </c>
    </row>
    <row r="57" spans="1:6" x14ac:dyDescent="0.2">
      <c r="A57">
        <v>1</v>
      </c>
      <c r="B57">
        <v>4.9000000000000002E-2</v>
      </c>
      <c r="C57">
        <v>22.966000000000001</v>
      </c>
      <c r="D57">
        <v>1.6719999999999999</v>
      </c>
    </row>
    <row r="58" spans="1:6" x14ac:dyDescent="0.2">
      <c r="A58">
        <v>2</v>
      </c>
      <c r="B58">
        <v>5.1999999999999998E-2</v>
      </c>
      <c r="C58">
        <v>4.6680000000000001</v>
      </c>
      <c r="D58">
        <v>1.8560000000000001</v>
      </c>
    </row>
    <row r="59" spans="1:6" x14ac:dyDescent="0.2">
      <c r="A59">
        <v>3</v>
      </c>
      <c r="B59">
        <v>3.7999999999999999E-2</v>
      </c>
      <c r="C59">
        <v>26.41</v>
      </c>
      <c r="D59">
        <v>1.349</v>
      </c>
    </row>
    <row r="60" spans="1:6" x14ac:dyDescent="0.2">
      <c r="A60">
        <v>4</v>
      </c>
      <c r="B60">
        <v>9.6000000000000002E-2</v>
      </c>
      <c r="C60">
        <v>16.614999999999998</v>
      </c>
      <c r="D60">
        <v>3.4340000000000002</v>
      </c>
    </row>
    <row r="61" spans="1:6" x14ac:dyDescent="0.2">
      <c r="A61">
        <v>5</v>
      </c>
      <c r="B61">
        <v>0.04</v>
      </c>
      <c r="C61">
        <v>21.193999999999999</v>
      </c>
      <c r="D61">
        <v>1.284</v>
      </c>
    </row>
    <row r="62" spans="1:6" x14ac:dyDescent="0.2">
      <c r="A62">
        <v>6</v>
      </c>
      <c r="B62">
        <v>0.17799999999999999</v>
      </c>
      <c r="C62">
        <v>18.486000000000001</v>
      </c>
      <c r="D62">
        <v>6.3319999999999999</v>
      </c>
    </row>
    <row r="63" spans="1:6" x14ac:dyDescent="0.2">
      <c r="A63">
        <v>7</v>
      </c>
      <c r="B63">
        <v>0.185</v>
      </c>
      <c r="C63">
        <v>22.471</v>
      </c>
      <c r="D63">
        <v>6.258</v>
      </c>
    </row>
    <row r="64" spans="1:6" x14ac:dyDescent="0.2">
      <c r="A64">
        <v>8</v>
      </c>
      <c r="B64">
        <v>5.5E-2</v>
      </c>
      <c r="C64">
        <v>26.882999999999999</v>
      </c>
      <c r="D64">
        <v>1.8859999999999999</v>
      </c>
    </row>
    <row r="65" spans="1:10" x14ac:dyDescent="0.2">
      <c r="A65">
        <v>9</v>
      </c>
      <c r="B65">
        <v>0.13400000000000001</v>
      </c>
      <c r="C65">
        <v>17.2</v>
      </c>
      <c r="D65">
        <v>4.6139999999999999</v>
      </c>
      <c r="E65">
        <f>AVERAGE(D57:D65)</f>
        <v>3.1872222222222222</v>
      </c>
      <c r="F65">
        <f>STDEVA(D57:D65)</f>
        <v>2.0669555980824654</v>
      </c>
    </row>
    <row r="67" spans="1:10" x14ac:dyDescent="0.2">
      <c r="A67" t="s">
        <v>33</v>
      </c>
    </row>
    <row r="68" spans="1:10" x14ac:dyDescent="0.2">
      <c r="A68">
        <v>1</v>
      </c>
      <c r="B68">
        <v>0.13900000000000001</v>
      </c>
      <c r="C68">
        <v>23.08</v>
      </c>
      <c r="D68">
        <v>5.048</v>
      </c>
    </row>
    <row r="69" spans="1:10" x14ac:dyDescent="0.2">
      <c r="A69">
        <v>2</v>
      </c>
      <c r="B69">
        <v>0.109</v>
      </c>
      <c r="C69">
        <v>19.503</v>
      </c>
      <c r="D69">
        <v>3.8159999999999998</v>
      </c>
    </row>
    <row r="70" spans="1:10" x14ac:dyDescent="0.2">
      <c r="A70">
        <v>3</v>
      </c>
      <c r="B70">
        <v>4.5999999999999999E-2</v>
      </c>
      <c r="C70">
        <v>30.158999999999999</v>
      </c>
      <c r="D70">
        <v>1.59</v>
      </c>
    </row>
    <row r="71" spans="1:10" x14ac:dyDescent="0.2">
      <c r="A71">
        <v>4</v>
      </c>
      <c r="B71">
        <v>5.0999999999999997E-2</v>
      </c>
      <c r="C71">
        <v>29.981999999999999</v>
      </c>
      <c r="D71">
        <v>1.7270000000000001</v>
      </c>
    </row>
    <row r="72" spans="1:10" x14ac:dyDescent="0.2">
      <c r="A72">
        <v>5</v>
      </c>
      <c r="B72">
        <v>2.7E-2</v>
      </c>
      <c r="C72">
        <v>30.881</v>
      </c>
      <c r="D72">
        <v>0.94699999999999995</v>
      </c>
    </row>
    <row r="73" spans="1:10" x14ac:dyDescent="0.2">
      <c r="A73">
        <v>6</v>
      </c>
      <c r="B73">
        <v>0.115</v>
      </c>
      <c r="C73">
        <v>21.954000000000001</v>
      </c>
      <c r="D73">
        <v>4.0629999999999997</v>
      </c>
    </row>
    <row r="74" spans="1:10" x14ac:dyDescent="0.2">
      <c r="A74">
        <v>7</v>
      </c>
      <c r="B74">
        <v>3.3000000000000002E-2</v>
      </c>
      <c r="C74">
        <v>16.437000000000001</v>
      </c>
      <c r="D74">
        <v>1.2529999999999999</v>
      </c>
    </row>
    <row r="75" spans="1:10" x14ac:dyDescent="0.2">
      <c r="A75">
        <v>8</v>
      </c>
      <c r="B75">
        <v>5.8999999999999997E-2</v>
      </c>
      <c r="C75">
        <v>23.709</v>
      </c>
      <c r="D75">
        <v>2.0910000000000002</v>
      </c>
      <c r="E75">
        <f>AVERAGE(D68:D75)</f>
        <v>2.566875</v>
      </c>
      <c r="F75">
        <f>STDEVA(D68:D75)</f>
        <v>1.5208587271200249</v>
      </c>
    </row>
    <row r="76" spans="1:10" x14ac:dyDescent="0.2">
      <c r="J76" t="s">
        <v>36</v>
      </c>
    </row>
    <row r="77" spans="1:10" x14ac:dyDescent="0.2">
      <c r="A77" t="s">
        <v>34</v>
      </c>
    </row>
    <row r="78" spans="1:10" x14ac:dyDescent="0.2">
      <c r="A78">
        <v>1</v>
      </c>
      <c r="B78">
        <v>0.224</v>
      </c>
      <c r="C78">
        <v>13.13</v>
      </c>
      <c r="D78">
        <v>7.3029999999999999</v>
      </c>
    </row>
    <row r="79" spans="1:10" x14ac:dyDescent="0.2">
      <c r="A79">
        <v>2</v>
      </c>
      <c r="B79">
        <v>4.2999999999999997E-2</v>
      </c>
      <c r="C79">
        <v>16.727</v>
      </c>
      <c r="D79">
        <v>1.5349999999999999</v>
      </c>
    </row>
    <row r="80" spans="1:10" x14ac:dyDescent="0.2">
      <c r="A80">
        <v>3</v>
      </c>
      <c r="B80">
        <v>7.3999999999999996E-2</v>
      </c>
      <c r="C80">
        <v>19.463999999999999</v>
      </c>
      <c r="D80">
        <v>2.819</v>
      </c>
    </row>
    <row r="81" spans="1:6" x14ac:dyDescent="0.2">
      <c r="A81">
        <v>4</v>
      </c>
      <c r="B81">
        <v>0.152</v>
      </c>
      <c r="C81">
        <v>12.114000000000001</v>
      </c>
      <c r="D81">
        <v>5.3849999999999998</v>
      </c>
    </row>
    <row r="82" spans="1:6" x14ac:dyDescent="0.2">
      <c r="A82">
        <v>5</v>
      </c>
      <c r="B82">
        <v>4.3999999999999997E-2</v>
      </c>
      <c r="C82">
        <v>32.201999999999998</v>
      </c>
      <c r="D82">
        <v>1.54</v>
      </c>
    </row>
    <row r="83" spans="1:6" x14ac:dyDescent="0.2">
      <c r="A83">
        <v>6</v>
      </c>
      <c r="B83">
        <v>2.8000000000000001E-2</v>
      </c>
      <c r="C83">
        <v>12.486000000000001</v>
      </c>
      <c r="D83">
        <v>0.95899999999999996</v>
      </c>
    </row>
    <row r="84" spans="1:6" x14ac:dyDescent="0.2">
      <c r="A84">
        <v>7</v>
      </c>
      <c r="B84">
        <v>4.2999999999999997E-2</v>
      </c>
      <c r="C84">
        <v>17.907</v>
      </c>
      <c r="D84">
        <v>1.2370000000000001</v>
      </c>
    </row>
    <row r="85" spans="1:6" x14ac:dyDescent="0.2">
      <c r="A85">
        <v>8</v>
      </c>
      <c r="B85">
        <v>0.183</v>
      </c>
      <c r="C85">
        <v>9.1630000000000003</v>
      </c>
      <c r="D85">
        <v>5.8529999999999998</v>
      </c>
    </row>
    <row r="86" spans="1:6" x14ac:dyDescent="0.2">
      <c r="A86">
        <v>9</v>
      </c>
      <c r="B86">
        <v>0.185</v>
      </c>
      <c r="C86">
        <v>13.832000000000001</v>
      </c>
      <c r="D86">
        <v>6.7380000000000004</v>
      </c>
      <c r="E86">
        <f>AVERAGE(D78:D86)</f>
        <v>3.7076666666666664</v>
      </c>
      <c r="F86">
        <f>STDEVA(D78:D86)</f>
        <v>2.583447164158772</v>
      </c>
    </row>
    <row r="88" spans="1:6" x14ac:dyDescent="0.2">
      <c r="A88" t="s">
        <v>35</v>
      </c>
    </row>
    <row r="89" spans="1:6" x14ac:dyDescent="0.2">
      <c r="A89">
        <v>1</v>
      </c>
      <c r="B89">
        <v>7.2999999999999995E-2</v>
      </c>
      <c r="C89">
        <v>26.414000000000001</v>
      </c>
      <c r="D89">
        <v>2.5489999999999999</v>
      </c>
    </row>
    <row r="90" spans="1:6" x14ac:dyDescent="0.2">
      <c r="A90">
        <v>2</v>
      </c>
      <c r="B90">
        <v>3.9E-2</v>
      </c>
      <c r="C90">
        <v>18.238</v>
      </c>
      <c r="D90">
        <v>1.302</v>
      </c>
    </row>
    <row r="91" spans="1:6" x14ac:dyDescent="0.2">
      <c r="A91">
        <v>3</v>
      </c>
      <c r="B91">
        <v>4.1000000000000002E-2</v>
      </c>
      <c r="C91">
        <v>19.736000000000001</v>
      </c>
      <c r="D91">
        <v>1.5049999999999999</v>
      </c>
    </row>
    <row r="92" spans="1:6" x14ac:dyDescent="0.2">
      <c r="A92">
        <v>4</v>
      </c>
      <c r="B92">
        <v>9.4E-2</v>
      </c>
      <c r="C92">
        <v>19.82</v>
      </c>
      <c r="D92">
        <v>2.8029999999999999</v>
      </c>
    </row>
    <row r="93" spans="1:6" x14ac:dyDescent="0.2">
      <c r="A93">
        <v>5</v>
      </c>
      <c r="B93">
        <v>6.3E-2</v>
      </c>
      <c r="C93">
        <v>12.68</v>
      </c>
      <c r="D93">
        <v>2.2629999999999999</v>
      </c>
    </row>
    <row r="94" spans="1:6" x14ac:dyDescent="0.2">
      <c r="A94">
        <v>6</v>
      </c>
      <c r="B94">
        <v>0.121</v>
      </c>
      <c r="C94">
        <v>18.946000000000002</v>
      </c>
      <c r="D94">
        <v>3.7810000000000001</v>
      </c>
    </row>
    <row r="95" spans="1:6" x14ac:dyDescent="0.2">
      <c r="A95">
        <v>7</v>
      </c>
      <c r="B95">
        <v>5.0999999999999997E-2</v>
      </c>
      <c r="C95">
        <v>28.468</v>
      </c>
      <c r="D95">
        <v>1.919</v>
      </c>
    </row>
    <row r="96" spans="1:6" x14ac:dyDescent="0.2">
      <c r="A96">
        <v>8</v>
      </c>
      <c r="B96">
        <v>3.3000000000000002E-2</v>
      </c>
      <c r="C96">
        <v>22.135000000000002</v>
      </c>
      <c r="D96">
        <v>1.181</v>
      </c>
    </row>
    <row r="97" spans="1:6" x14ac:dyDescent="0.2">
      <c r="A97">
        <v>9</v>
      </c>
      <c r="B97">
        <v>4.5999999999999999E-2</v>
      </c>
      <c r="C97">
        <v>19.829000000000001</v>
      </c>
      <c r="D97">
        <v>1.581</v>
      </c>
      <c r="E97">
        <f>AVERAGE(D89:D97)</f>
        <v>2.0982222222222222</v>
      </c>
      <c r="F97">
        <f>STDEVA(D89:D97)</f>
        <v>0.84303199491148895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10mM </vt:lpstr>
      <vt:lpstr>2 mM</vt:lpstr>
      <vt:lpstr>1 mM</vt:lpstr>
      <vt:lpstr>original 200uM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2026-09-05T00:52:11Z</dcterms:created>
  <dcterms:modified xsi:type="dcterms:W3CDTF">2026-09-24T16:29:32Z</dcterms:modified>
</cp:coreProperties>
</file>