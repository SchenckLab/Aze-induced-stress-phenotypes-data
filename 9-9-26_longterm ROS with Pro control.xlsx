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cas28y_umsystem_edu/Documents/Writing/Papers/Aze phentypic response_Asha/data for ANOVA tests/"/>
    </mc:Choice>
  </mc:AlternateContent>
  <xr:revisionPtr revIDLastSave="228" documentId="8_{FE91EC0B-4C7D-4461-B603-AF868209ECCA}" xr6:coauthVersionLast="47" xr6:coauthVersionMax="47" xr10:uidLastSave="{BFC49492-63F4-8C48-B60A-B514C1F1F4C7}"/>
  <bookViews>
    <workbookView xWindow="0" yWindow="600" windowWidth="28800" windowHeight="16200" xr2:uid="{FDDEB9CD-D591-4F36-8B0D-B61DAD90763E}"/>
  </bookViews>
  <sheets>
    <sheet name="Plate 1 - Sheet1" sheetId="1" r:id="rId1"/>
  </sheets>
  <definedNames>
    <definedName name="MethodPointer1">-1599955024</definedName>
    <definedName name="MethodPointer2">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1" l="1"/>
  <c r="M69" i="1" s="1"/>
  <c r="M80" i="1" s="1"/>
  <c r="M91" i="1" s="1"/>
  <c r="T92" i="1"/>
  <c r="Q89" i="1"/>
  <c r="P90" i="1"/>
  <c r="P92" i="1"/>
  <c r="P94" i="1"/>
  <c r="O90" i="1"/>
  <c r="O92" i="1"/>
  <c r="O94" i="1"/>
  <c r="P89" i="1"/>
  <c r="O89" i="1"/>
  <c r="I90" i="1"/>
  <c r="J90" i="1"/>
  <c r="K90" i="1"/>
  <c r="L90" i="1"/>
  <c r="M90" i="1"/>
  <c r="N90" i="1"/>
  <c r="I92" i="1"/>
  <c r="J92" i="1"/>
  <c r="K92" i="1"/>
  <c r="L92" i="1"/>
  <c r="M92" i="1"/>
  <c r="N92" i="1"/>
  <c r="L93" i="1"/>
  <c r="N93" i="1"/>
  <c r="I94" i="1"/>
  <c r="J94" i="1"/>
  <c r="K94" i="1"/>
  <c r="L94" i="1"/>
  <c r="M94" i="1"/>
  <c r="N94" i="1"/>
  <c r="J89" i="1"/>
  <c r="K89" i="1"/>
  <c r="L89" i="1"/>
  <c r="M89" i="1"/>
  <c r="N89" i="1"/>
  <c r="I89" i="1"/>
  <c r="I79" i="1"/>
  <c r="J79" i="1"/>
  <c r="K79" i="1"/>
  <c r="L79" i="1"/>
  <c r="M79" i="1"/>
  <c r="N79" i="1"/>
  <c r="I81" i="1"/>
  <c r="J81" i="1"/>
  <c r="K81" i="1"/>
  <c r="L81" i="1"/>
  <c r="M81" i="1"/>
  <c r="N81" i="1"/>
  <c r="L82" i="1"/>
  <c r="N82" i="1"/>
  <c r="I83" i="1"/>
  <c r="J83" i="1"/>
  <c r="K83" i="1"/>
  <c r="L83" i="1"/>
  <c r="M83" i="1"/>
  <c r="N83" i="1"/>
  <c r="J78" i="1"/>
  <c r="K78" i="1"/>
  <c r="L78" i="1"/>
  <c r="M78" i="1"/>
  <c r="N78" i="1"/>
  <c r="I78" i="1"/>
  <c r="I68" i="1"/>
  <c r="J68" i="1"/>
  <c r="K68" i="1"/>
  <c r="L68" i="1"/>
  <c r="M68" i="1"/>
  <c r="N68" i="1"/>
  <c r="I70" i="1"/>
  <c r="J70" i="1"/>
  <c r="K70" i="1"/>
  <c r="L70" i="1"/>
  <c r="M70" i="1"/>
  <c r="N70" i="1"/>
  <c r="L71" i="1"/>
  <c r="N71" i="1"/>
  <c r="I72" i="1"/>
  <c r="J72" i="1"/>
  <c r="K72" i="1"/>
  <c r="L72" i="1"/>
  <c r="M72" i="1"/>
  <c r="N72" i="1"/>
  <c r="J67" i="1"/>
  <c r="K67" i="1"/>
  <c r="L67" i="1"/>
  <c r="M67" i="1"/>
  <c r="N67" i="1"/>
  <c r="I67" i="1"/>
  <c r="I58" i="1"/>
  <c r="J58" i="1"/>
  <c r="K58" i="1"/>
  <c r="L58" i="1"/>
  <c r="M58" i="1"/>
  <c r="N58" i="1"/>
  <c r="I59" i="1"/>
  <c r="I69" i="1" s="1"/>
  <c r="I80" i="1" s="1"/>
  <c r="I91" i="1" s="1"/>
  <c r="J59" i="1"/>
  <c r="J69" i="1" s="1"/>
  <c r="J80" i="1" s="1"/>
  <c r="J91" i="1" s="1"/>
  <c r="K59" i="1"/>
  <c r="K69" i="1" s="1"/>
  <c r="K80" i="1" s="1"/>
  <c r="K91" i="1" s="1"/>
  <c r="L59" i="1"/>
  <c r="L69" i="1" s="1"/>
  <c r="L80" i="1" s="1"/>
  <c r="L91" i="1" s="1"/>
  <c r="O91" i="1" s="1"/>
  <c r="N59" i="1"/>
  <c r="N69" i="1" s="1"/>
  <c r="N80" i="1" s="1"/>
  <c r="N91" i="1" s="1"/>
  <c r="I60" i="1"/>
  <c r="J60" i="1"/>
  <c r="K60" i="1"/>
  <c r="L60" i="1"/>
  <c r="M60" i="1"/>
  <c r="N60" i="1"/>
  <c r="I61" i="1"/>
  <c r="I71" i="1" s="1"/>
  <c r="I82" i="1" s="1"/>
  <c r="I93" i="1" s="1"/>
  <c r="J61" i="1"/>
  <c r="J71" i="1" s="1"/>
  <c r="J82" i="1" s="1"/>
  <c r="J93" i="1" s="1"/>
  <c r="K61" i="1"/>
  <c r="K71" i="1" s="1"/>
  <c r="K82" i="1" s="1"/>
  <c r="K93" i="1" s="1"/>
  <c r="L61" i="1"/>
  <c r="M61" i="1"/>
  <c r="M71" i="1" s="1"/>
  <c r="M82" i="1" s="1"/>
  <c r="M93" i="1" s="1"/>
  <c r="N61" i="1"/>
  <c r="I62" i="1"/>
  <c r="J62" i="1"/>
  <c r="K62" i="1"/>
  <c r="L62" i="1"/>
  <c r="M62" i="1"/>
  <c r="N62" i="1"/>
  <c r="J57" i="1"/>
  <c r="K57" i="1"/>
  <c r="L57" i="1"/>
  <c r="M57" i="1"/>
  <c r="N57" i="1"/>
  <c r="I57" i="1"/>
  <c r="D54" i="1"/>
  <c r="E54" i="1"/>
  <c r="F54" i="1"/>
  <c r="G54" i="1"/>
  <c r="H54" i="1"/>
  <c r="I54" i="1"/>
  <c r="J54" i="1"/>
  <c r="K54" i="1"/>
  <c r="L54" i="1"/>
  <c r="M54" i="1"/>
  <c r="C54" i="1"/>
  <c r="D53" i="1"/>
  <c r="E53" i="1"/>
  <c r="F53" i="1"/>
  <c r="G53" i="1"/>
  <c r="H53" i="1"/>
  <c r="I53" i="1"/>
  <c r="J53" i="1"/>
  <c r="K53" i="1"/>
  <c r="L53" i="1"/>
  <c r="M53" i="1"/>
  <c r="C53" i="1"/>
  <c r="D52" i="1"/>
  <c r="E52" i="1"/>
  <c r="F52" i="1"/>
  <c r="G52" i="1"/>
  <c r="H52" i="1"/>
  <c r="I52" i="1"/>
  <c r="J52" i="1"/>
  <c r="K52" i="1"/>
  <c r="L52" i="1"/>
  <c r="M52" i="1"/>
  <c r="C52" i="1"/>
  <c r="C50" i="1"/>
  <c r="K51" i="1"/>
  <c r="J51" i="1"/>
  <c r="I51" i="1"/>
  <c r="H51" i="1"/>
  <c r="G51" i="1"/>
  <c r="F51" i="1"/>
  <c r="E51" i="1"/>
  <c r="D51" i="1"/>
  <c r="C51" i="1"/>
  <c r="O93" i="1" l="1"/>
  <c r="P93" i="1"/>
  <c r="Q93" i="1"/>
  <c r="T91" i="1"/>
  <c r="P91" i="1"/>
</calcChain>
</file>

<file path=xl/sharedStrings.xml><?xml version="1.0" encoding="utf-8"?>
<sst xmlns="http://schemas.openxmlformats.org/spreadsheetml/2006/main" count="136" uniqueCount="69">
  <si>
    <t>Software Version</t>
  </si>
  <si>
    <t>3.12.08</t>
  </si>
  <si>
    <t>Experiment File Path:</t>
  </si>
  <si>
    <t>D:\schenck lab\amplex red\9-9-26.xpt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</si>
  <si>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</si>
  <si>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</si>
  <si>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</si>
  <si>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</si>
  <si>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</si>
  <si>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</si>
  <si>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</si>
  <si>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</si>
  <si>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2203071E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</si>
  <si>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</si>
  <si>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</si>
  <si>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</si>
  <si>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</si>
  <si>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</si>
  <si>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</si>
  <si>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</si>
  <si>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</si>
  <si>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</si>
  <si>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</si>
  <si>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545/9,  Emission: 590/20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</si>
  <si>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</si>
  <si>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</si>
  <si>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</si>
  <si>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</si>
  <si>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</si>
  <si>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</si>
  <si>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</si>
  <si>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</si>
  <si>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</si>
  <si>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</si>
  <si>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</si>
  <si>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</si>
  <si>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</si>
  <si>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</si>
  <si>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A+P</t>
  </si>
  <si>
    <t>1000P</t>
  </si>
  <si>
    <t xml:space="preserve">A </t>
  </si>
  <si>
    <t>mean A</t>
  </si>
  <si>
    <t>mean H2O2</t>
  </si>
  <si>
    <t>mean H2O2 - A</t>
  </si>
  <si>
    <t>(mean H2O2 - A - mean H2O2 of 0</t>
  </si>
  <si>
    <t>Cat</t>
  </si>
  <si>
    <t>S-C</t>
  </si>
  <si>
    <t>sample was 25ul</t>
  </si>
  <si>
    <t>H2O2 uM in 25ul</t>
  </si>
  <si>
    <t>y = 8388.7x + 3144.5</t>
  </si>
  <si>
    <t>x = (y - 3144.5) / 8388.7</t>
  </si>
  <si>
    <t>Total vol was 500ul</t>
  </si>
  <si>
    <t>H2O2 uM in 500ul</t>
  </si>
  <si>
    <t>H2O2 uM in 1mg</t>
  </si>
  <si>
    <t>Total weight was 100mg</t>
  </si>
  <si>
    <t>100(cat)</t>
  </si>
  <si>
    <t>0(cat)</t>
  </si>
  <si>
    <t>Ave</t>
  </si>
  <si>
    <t>Std</t>
  </si>
  <si>
    <t>100 Aze vs A+P</t>
  </si>
  <si>
    <t>ttest (Aze vs A +P)</t>
  </si>
  <si>
    <t>Aze treatment vs A + P</t>
  </si>
  <si>
    <t>ttest (cat treatment)</t>
  </si>
  <si>
    <t>Cat treatment</t>
  </si>
  <si>
    <t>100 uM Aze</t>
  </si>
  <si>
    <t>100 uM Aze + cat</t>
  </si>
  <si>
    <t>0 uM Aze</t>
  </si>
  <si>
    <t>0 uM Aze + cat</t>
  </si>
  <si>
    <t>A+ 1000P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</si>
</sst>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16" borderId="0" xfId="0" applyFill="1"/>
    <xf numFmtId="0" fontId="0" fillId="1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H2O2 standard</a:t>
            </a:r>
          </a:p>
        </c:rich>
      </c:tx>
      <c:layout>
        <c:manualLayout>
          <c:xMode val="edge"/>
          <c:yMode val="edge"/>
          <c:x val="0.371208223972003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 1 - Sheet1'!$O$51:$Y$51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</c:numCache>
            </c:numRef>
          </c:xVal>
          <c:yVal>
            <c:numRef>
              <c:f>'Plate 1 - Sheet1'!$O$52:$Y$52</c:f>
              <c:numCache>
                <c:formatCode>General</c:formatCode>
                <c:ptCount val="11"/>
                <c:pt idx="0">
                  <c:v>0</c:v>
                </c:pt>
                <c:pt idx="1">
                  <c:v>2433.5</c:v>
                </c:pt>
                <c:pt idx="2">
                  <c:v>8215.5</c:v>
                </c:pt>
                <c:pt idx="3">
                  <c:v>12960.5</c:v>
                </c:pt>
                <c:pt idx="4">
                  <c:v>17884.5</c:v>
                </c:pt>
                <c:pt idx="5">
                  <c:v>28574.5</c:v>
                </c:pt>
                <c:pt idx="6">
                  <c:v>35957</c:v>
                </c:pt>
                <c:pt idx="7">
                  <c:v>50116.5</c:v>
                </c:pt>
                <c:pt idx="8">
                  <c:v>91319</c:v>
                </c:pt>
                <c:pt idx="9">
                  <c:v>127326</c:v>
                </c:pt>
                <c:pt idx="10">
                  <c:v>168999.5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74-4EC2-872A-C4D3AAC6D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197535"/>
        <c:axId val="1418234351"/>
      </c:scatterChart>
      <c:valAx>
        <c:axId val="145119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34351"/>
        <c:crosses val="autoZero"/>
        <c:crossBetween val="midCat"/>
      </c:valAx>
      <c:valAx>
        <c:axId val="14182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19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Aze</a:t>
            </a:r>
            <a:r>
              <a:rPr lang="en-US" baseline="0"/>
              <a:t> + Proline effect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'Plate 1 - Sheet1'!$D$98</c:f>
              <c:strCache>
                <c:ptCount val="1"/>
                <c:pt idx="0">
                  <c:v>Ave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'Plate 1 - Sheet1'!$E$99:$E$102</c:f>
                <c:numCache>
                  <c:formatCode>General</c:formatCode>
                  <c:ptCount val="4"/>
                  <c:pt idx="0">
                    <c:v>8.7205855974494831E-2</c:v>
                  </c:pt>
                  <c:pt idx="1">
                    <c:v>0.26713501369789378</c:v>
                  </c:pt>
                  <c:pt idx="2">
                    <c:v>7.7389301633454047E-2</c:v>
                  </c:pt>
                  <c:pt idx="3">
                    <c:v>0.38406800069843733</c:v>
                  </c:pt>
                </c:numCache>
              </c:numRef>
            </c:plus>
            <c:minus>
              <c:numRef>
                <c:f>'Plate 1 - Sheet1'!$E$99:$E$102</c:f>
                <c:numCache>
                  <c:formatCode>General</c:formatCode>
                  <c:ptCount val="4"/>
                  <c:pt idx="0">
                    <c:v>8.7205855974494831E-2</c:v>
                  </c:pt>
                  <c:pt idx="1">
                    <c:v>0.26713501369789378</c:v>
                  </c:pt>
                  <c:pt idx="2">
                    <c:v>7.7389301633454047E-2</c:v>
                  </c:pt>
                  <c:pt idx="3">
                    <c:v>0.38406800069843733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'Plate 1 - Sheet1'!$C$99:$C$102</c:f>
              <c:strCache>
                <c:ptCount val="4"/>
                <c:pt idx="0">
                  <c:v>0</c:v>
                </c:pt>
                <c:pt idx="1">
                  <c:v>100</c:v>
                </c:pt>
                <c:pt idx="2">
                  <c:v>A+ 1000P</c:v>
                </c:pt>
                <c:pt idx="3">
                  <c:v>1000P</c:v>
                </c:pt>
              </c:strCache>
            </c:strRef>
          </c:cat>
          <c:val>
            <c:numRef>
              <c:f>'Plate 1 - Sheet1'!$D$99:$D$102</c:f>
              <c:numCache>
                <c:formatCode>General</c:formatCode>
                <c:ptCount val="4"/>
                <c:pt idx="0">
                  <c:v>1.3142044257950178</c:v>
                </c:pt>
                <c:pt idx="1">
                  <c:v>2.0094810081816412</c:v>
                </c:pt>
                <c:pt idx="2">
                  <c:v>1.6126694243446538</c:v>
                </c:pt>
                <c:pt idx="3">
                  <c:v>3.0048318968771484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6-4E27-9B67-E2B61771C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344383"/>
        <c:axId val="1418194511"/>
      </c:barChart>
      <c:catAx>
        <c:axId val="15933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194511"/>
        <c:crosses val="autoZero"/>
        <c:auto val="1"/>
        <c:lblAlgn val="ctr"/>
        <c:lblOffset val="100"/>
        <c:noMultiLvlLbl val="0"/>
      </c:catAx>
      <c:valAx>
        <c:axId val="141819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4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72-4A83-A75F-58AAB5D01A3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72-4A83-A75F-58AAB5D01A30}"/>
              </c:ext>
            </c:extLst>
          </c:dPt>
          <c:errBars>
            <c:errBarType val="both"/>
            <c:errValType val="cust"/>
            <c:noEndCap val="0"/>
            <c:plus>
              <c:numRef>
                <c:f>'Plate 1 - Sheet1'!$R$98:$R$101</c:f>
                <c:numCache>
                  <c:formatCode>General</c:formatCode>
                  <c:ptCount val="4"/>
                  <c:pt idx="0">
                    <c:v>8.7205855974494831E-2</c:v>
                  </c:pt>
                  <c:pt idx="1">
                    <c:v>8.0561158645254635E-2</c:v>
                  </c:pt>
                  <c:pt idx="2">
                    <c:v>0.26713501369789378</c:v>
                  </c:pt>
                  <c:pt idx="3">
                    <c:v>9.8441677110359047E-2</c:v>
                  </c:pt>
                </c:numCache>
              </c:numRef>
            </c:plus>
            <c:minus>
              <c:numRef>
                <c:f>'Plate 1 - Sheet1'!$R$98:$R$101</c:f>
                <c:numCache>
                  <c:formatCode>General</c:formatCode>
                  <c:ptCount val="4"/>
                  <c:pt idx="0">
                    <c:v>8.7205855974494831E-2</c:v>
                  </c:pt>
                  <c:pt idx="1">
                    <c:v>8.0561158645254635E-2</c:v>
                  </c:pt>
                  <c:pt idx="2">
                    <c:v>0.26713501369789378</c:v>
                  </c:pt>
                  <c:pt idx="3">
                    <c:v>9.8441677110359047E-2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'Plate 1 - Sheet1'!$P$98:$P$101</c:f>
              <c:strCache>
                <c:ptCount val="4"/>
                <c:pt idx="0">
                  <c:v>0 uM Aze</c:v>
                </c:pt>
                <c:pt idx="1">
                  <c:v>0 uM Aze + cat</c:v>
                </c:pt>
                <c:pt idx="2">
                  <c:v>100 uM Aze</c:v>
                </c:pt>
                <c:pt idx="3">
                  <c:v>100 uM Aze + cat</c:v>
                </c:pt>
              </c:strCache>
            </c:strRef>
          </c:cat>
          <c:val>
            <c:numRef>
              <c:f>'Plate 1 - Sheet1'!$Q$98:$Q$101</c:f>
              <c:numCache>
                <c:formatCode>General</c:formatCode>
                <c:ptCount val="4"/>
                <c:pt idx="0">
                  <c:v>1.3142044257950178</c:v>
                </c:pt>
                <c:pt idx="1">
                  <c:v>1.1646023817754836</c:v>
                </c:pt>
                <c:pt idx="2">
                  <c:v>2.0094810081816412</c:v>
                </c:pt>
                <c:pt idx="3">
                  <c:v>1.491196490517005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2-4A83-A75F-58AAB5D01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332911"/>
        <c:axId val="1418213231"/>
      </c:barChart>
      <c:catAx>
        <c:axId val="170433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13231"/>
        <c:crosses val="autoZero"/>
        <c:auto val="1"/>
        <c:lblAlgn val="ctr"/>
        <c:lblOffset val="100"/>
        <c:noMultiLvlLbl val="0"/>
      </c:catAx>
      <c:valAx>
        <c:axId val="1418213231"/>
        <c:scaling>
          <c:orientation val="minMax"/>
          <c:max val="2.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3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5356</xdr:colOff>
      <xdr:row>52</xdr:row>
      <xdr:rowOff>208248</xdr:rowOff>
    </xdr:from>
    <xdr:to>
      <xdr:col>22</xdr:col>
      <xdr:colOff>293018</xdr:colOff>
      <xdr:row>67</xdr:row>
      <xdr:rowOff>67171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DDFDB-D916-3B30-9B83-B5A3885B9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442702</xdr:colOff>
      <xdr:row>97</xdr:row>
      <xdr:rowOff>11859</xdr:rowOff>
    </xdr:from>
    <xdr:to>
      <xdr:col>12</xdr:col>
      <xdr:colOff>558876</xdr:colOff>
      <xdr:row>114</xdr:row>
      <xdr:rowOff>14269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F7B760-0323-19D1-2963-28BE8226C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3442</xdr:colOff>
      <xdr:row>96</xdr:row>
      <xdr:rowOff>13808</xdr:rowOff>
    </xdr:from>
    <xdr:to>
      <xdr:col>24</xdr:col>
      <xdr:colOff>589280</xdr:colOff>
      <xdr:row>113</xdr:row>
      <xdr:rowOff>28918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A70127-6600-BE4F-538A-EAE8BA83C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56D2-4349-4183-AEBF-97AFF585391F}">
  <dimension ref="A2:Y110"/>
  <sheetViews>
    <sheetView tabSelected="1" topLeftCell="C87" zoomScale="125" zoomScaleNormal="83" workbookViewId="0">
      <selection activeCell="Q105" sqref="Q105:Q110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  <col min="3" max="3" width="9" bestFit="1" customWidth="1"/>
    <col min="4" max="4" width="11.6640625" bestFit="1" customWidth="1"/>
    <col min="5" max="5" width="9" bestFit="1" customWidth="1"/>
    <col min="8" max="8" width="9" bestFit="1" customWidth="1"/>
    <col min="9" max="16" width="11.6640625" bestFit="1" customWidth="1"/>
    <col min="17" max="18" width="9" bestFit="1" customWidth="1"/>
    <col min="20" max="20" width="12.33203125" bestFit="1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</row>
    <row r="6" spans="1:2" x14ac:dyDescent="0.15">
      <c r="A6" t="s">
        <v>5</v>
      </c>
      <c r="B6" t="s">
        <v>6</v>
      </c>
    </row>
    <row r="7" spans="1:2" x14ac:dyDescent="0.15">
      <c r="A7" t="s">
        <v>7</v>
      </c>
      <c r="B7" s="1">
        <v>46274</v>
      </c>
    </row>
    <row r="8" spans="1:2" x14ac:dyDescent="0.15">
      <c r="A8" t="s">
        <v>8</v>
      </c>
      <c r="B8" s="2">
        <v>0.71101851851851849</v>
      </c>
    </row>
    <row r="9" spans="1:2" x14ac:dyDescent="0.15">
      <c r="A9" t="s">
        <v>9</v>
      </c>
      <c r="B9" t="s">
        <v>10</v>
      </c>
    </row>
    <row r="10" spans="1:2" x14ac:dyDescent="0.15">
      <c r="A10" t="s">
        <v>11</v>
      </c>
      <c r="B10" t="s">
        <v>12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15" x14ac:dyDescent="0.15">
      <c r="B17" t="s">
        <v>21</v>
      </c>
    </row>
    <row r="18" spans="1:15" x14ac:dyDescent="0.15">
      <c r="B18" t="s">
        <v>22</v>
      </c>
    </row>
    <row r="19" spans="1:15" x14ac:dyDescent="0.15">
      <c r="B19" t="s">
        <v>23</v>
      </c>
    </row>
    <row r="20" spans="1:15" x14ac:dyDescent="0.15">
      <c r="B20" t="s">
        <v>24</v>
      </c>
    </row>
    <row r="21" spans="1:15" x14ac:dyDescent="0.15">
      <c r="B21" t="s">
        <v>25</v>
      </c>
    </row>
    <row r="22" spans="1:15" x14ac:dyDescent="0.15">
      <c r="B22" t="s">
        <v>26</v>
      </c>
    </row>
    <row r="23" spans="1:15" x14ac:dyDescent="0.15">
      <c r="B23" t="s">
        <v>27</v>
      </c>
    </row>
    <row r="25" spans="1:15" ht="14" x14ac:dyDescent="0.15">
      <c r="A25" s="3" t="s">
        <v>28</v>
      </c>
      <c r="B25" s="4"/>
    </row>
    <row r="26" spans="1:15" x14ac:dyDescent="0.15">
      <c r="A26" t="s">
        <v>29</v>
      </c>
      <c r="B26">
        <v>22.4</v>
      </c>
    </row>
    <row r="28" spans="1:15" x14ac:dyDescent="0.1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4" x14ac:dyDescent="0.15">
      <c r="B29" s="6" t="s">
        <v>30</v>
      </c>
      <c r="C29" s="7">
        <v>46</v>
      </c>
      <c r="D29" s="7">
        <v>37</v>
      </c>
      <c r="E29" s="7">
        <v>33</v>
      </c>
      <c r="F29" s="7">
        <v>31</v>
      </c>
      <c r="G29" s="7">
        <v>43</v>
      </c>
      <c r="H29" s="7">
        <v>37</v>
      </c>
      <c r="I29" s="8">
        <v>84368</v>
      </c>
      <c r="J29" s="9">
        <v>93709</v>
      </c>
      <c r="K29" s="8">
        <v>83559</v>
      </c>
      <c r="L29" s="8">
        <v>90734</v>
      </c>
      <c r="M29" s="9">
        <v>102802</v>
      </c>
      <c r="N29" s="10">
        <v>69630</v>
      </c>
      <c r="O29" s="11">
        <v>545590</v>
      </c>
    </row>
    <row r="30" spans="1:15" ht="14" x14ac:dyDescent="0.15">
      <c r="B30" s="6" t="s">
        <v>31</v>
      </c>
      <c r="C30" s="7">
        <v>32</v>
      </c>
      <c r="D30" s="7">
        <v>30</v>
      </c>
      <c r="E30" s="7">
        <v>36</v>
      </c>
      <c r="F30" s="7">
        <v>35</v>
      </c>
      <c r="G30" s="7">
        <v>35</v>
      </c>
      <c r="H30" s="7">
        <v>46</v>
      </c>
      <c r="I30" s="12">
        <v>62845</v>
      </c>
      <c r="J30" s="12">
        <v>53415</v>
      </c>
      <c r="K30" s="12">
        <v>58996</v>
      </c>
      <c r="L30" s="12">
        <v>54369</v>
      </c>
      <c r="M30" s="12">
        <v>60256</v>
      </c>
      <c r="N30" s="12">
        <v>59934</v>
      </c>
      <c r="O30" s="11">
        <v>545590</v>
      </c>
    </row>
    <row r="31" spans="1:15" ht="14" x14ac:dyDescent="0.15">
      <c r="B31" s="6" t="s">
        <v>32</v>
      </c>
      <c r="C31" s="7">
        <v>24</v>
      </c>
      <c r="D31" s="7">
        <v>28</v>
      </c>
      <c r="E31" s="7">
        <v>26</v>
      </c>
      <c r="F31" s="7">
        <v>31</v>
      </c>
      <c r="G31" s="7">
        <v>30</v>
      </c>
      <c r="H31" s="7">
        <v>28</v>
      </c>
      <c r="I31" s="10">
        <v>60125</v>
      </c>
      <c r="J31" s="8">
        <v>62098</v>
      </c>
      <c r="K31" s="10">
        <v>71232</v>
      </c>
      <c r="L31" s="10">
        <v>66054</v>
      </c>
      <c r="M31" s="10">
        <v>68936</v>
      </c>
      <c r="N31" s="10">
        <v>65865</v>
      </c>
      <c r="O31" s="11">
        <v>545590</v>
      </c>
    </row>
    <row r="32" spans="1:15" ht="14" x14ac:dyDescent="0.15">
      <c r="B32" s="6" t="s">
        <v>33</v>
      </c>
      <c r="C32" s="7">
        <v>26</v>
      </c>
      <c r="D32" s="7">
        <v>31</v>
      </c>
      <c r="E32" s="7">
        <v>27</v>
      </c>
      <c r="F32" s="7">
        <v>29</v>
      </c>
      <c r="G32" s="7">
        <v>33</v>
      </c>
      <c r="H32" s="7">
        <v>35</v>
      </c>
      <c r="I32" s="12">
        <v>54587</v>
      </c>
      <c r="J32" s="12">
        <v>52707</v>
      </c>
      <c r="K32" s="12">
        <v>55311</v>
      </c>
      <c r="L32" s="12">
        <v>53211</v>
      </c>
      <c r="M32" s="13">
        <v>50139</v>
      </c>
      <c r="N32" s="13">
        <v>46178</v>
      </c>
      <c r="O32" s="11">
        <v>545590</v>
      </c>
    </row>
    <row r="33" spans="2:15" ht="14" x14ac:dyDescent="0.15">
      <c r="B33" s="6" t="s">
        <v>34</v>
      </c>
      <c r="C33" s="7">
        <v>31</v>
      </c>
      <c r="D33" s="7">
        <v>27</v>
      </c>
      <c r="E33" s="7">
        <v>34</v>
      </c>
      <c r="F33" s="7">
        <v>35</v>
      </c>
      <c r="G33" s="7">
        <v>33</v>
      </c>
      <c r="H33" s="7">
        <v>27</v>
      </c>
      <c r="I33" s="8">
        <v>65183</v>
      </c>
      <c r="J33" s="10">
        <v>70964</v>
      </c>
      <c r="K33" s="10">
        <v>71843</v>
      </c>
      <c r="L33" s="10">
        <v>70312</v>
      </c>
      <c r="M33" s="10">
        <v>75210</v>
      </c>
      <c r="N33" s="10">
        <v>71388</v>
      </c>
      <c r="O33" s="11">
        <v>545590</v>
      </c>
    </row>
    <row r="34" spans="2:15" ht="14" x14ac:dyDescent="0.15">
      <c r="B34" s="6" t="s">
        <v>35</v>
      </c>
      <c r="C34" s="7">
        <v>26</v>
      </c>
      <c r="D34" s="7">
        <v>27</v>
      </c>
      <c r="E34" s="7">
        <v>39</v>
      </c>
      <c r="F34" s="7">
        <v>49</v>
      </c>
      <c r="G34" s="7">
        <v>33</v>
      </c>
      <c r="H34" s="7">
        <v>32</v>
      </c>
      <c r="I34" s="14">
        <v>152632</v>
      </c>
      <c r="J34" s="15">
        <v>136045</v>
      </c>
      <c r="K34" s="16">
        <v>120791</v>
      </c>
      <c r="L34" s="15">
        <v>138718</v>
      </c>
      <c r="M34" s="17">
        <v>108551</v>
      </c>
      <c r="N34" s="16">
        <v>118535</v>
      </c>
      <c r="O34" s="11">
        <v>545590</v>
      </c>
    </row>
    <row r="35" spans="2:15" ht="14" x14ac:dyDescent="0.15">
      <c r="B35" s="6" t="s">
        <v>36</v>
      </c>
      <c r="C35" s="18">
        <v>14350</v>
      </c>
      <c r="D35" s="18">
        <v>16442</v>
      </c>
      <c r="E35" s="18">
        <v>19868</v>
      </c>
      <c r="F35" s="18">
        <v>25566</v>
      </c>
      <c r="G35" s="19">
        <v>31621</v>
      </c>
      <c r="H35" s="13">
        <v>43272</v>
      </c>
      <c r="I35" s="13">
        <v>49716</v>
      </c>
      <c r="J35" s="12">
        <v>65366</v>
      </c>
      <c r="K35" s="17">
        <v>106588</v>
      </c>
      <c r="L35" s="14">
        <v>144783</v>
      </c>
      <c r="M35" s="20">
        <v>184251</v>
      </c>
      <c r="N35" s="7">
        <v>312</v>
      </c>
      <c r="O35" s="11">
        <v>545590</v>
      </c>
    </row>
    <row r="36" spans="2:15" ht="14" x14ac:dyDescent="0.15">
      <c r="B36" s="6" t="s">
        <v>37</v>
      </c>
      <c r="C36" s="18">
        <v>15578</v>
      </c>
      <c r="D36" s="18">
        <v>18353</v>
      </c>
      <c r="E36" s="19">
        <v>26491</v>
      </c>
      <c r="F36" s="19">
        <v>30283</v>
      </c>
      <c r="G36" s="19">
        <v>34076</v>
      </c>
      <c r="H36" s="13">
        <v>43805</v>
      </c>
      <c r="I36" s="13">
        <v>52126</v>
      </c>
      <c r="J36" s="12">
        <v>64795</v>
      </c>
      <c r="K36" s="17">
        <v>105978</v>
      </c>
      <c r="L36" s="15">
        <v>139797</v>
      </c>
      <c r="M36" s="20">
        <v>183676</v>
      </c>
      <c r="N36" s="7">
        <v>320</v>
      </c>
      <c r="O36" s="11">
        <v>545590</v>
      </c>
    </row>
    <row r="39" spans="2:15" x14ac:dyDescent="0.15">
      <c r="B39" s="5"/>
      <c r="C39" s="6">
        <v>1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</row>
    <row r="40" spans="2:15" ht="14" x14ac:dyDescent="0.15">
      <c r="B40" s="6" t="s">
        <v>30</v>
      </c>
      <c r="C40" s="21">
        <v>100</v>
      </c>
      <c r="D40" s="21">
        <v>100</v>
      </c>
      <c r="E40" s="21">
        <v>100</v>
      </c>
      <c r="F40" s="21">
        <v>100</v>
      </c>
      <c r="G40" s="21">
        <v>100</v>
      </c>
      <c r="H40" s="21">
        <v>100</v>
      </c>
      <c r="I40" s="22">
        <v>100</v>
      </c>
      <c r="J40" s="22">
        <v>100</v>
      </c>
      <c r="K40" s="22">
        <v>100</v>
      </c>
      <c r="L40" s="22">
        <v>100</v>
      </c>
      <c r="M40" s="22">
        <v>100</v>
      </c>
      <c r="N40" s="22">
        <v>100</v>
      </c>
    </row>
    <row r="41" spans="2:15" ht="14" x14ac:dyDescent="0.15">
      <c r="B41" s="6" t="s">
        <v>31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</row>
    <row r="42" spans="2:15" ht="14" x14ac:dyDescent="0.15">
      <c r="B42" s="6" t="s">
        <v>32</v>
      </c>
      <c r="C42" s="21">
        <v>100</v>
      </c>
      <c r="D42" s="21">
        <v>100</v>
      </c>
      <c r="E42" s="21">
        <v>100</v>
      </c>
      <c r="F42" s="21">
        <v>100</v>
      </c>
      <c r="G42" s="21">
        <v>100</v>
      </c>
      <c r="H42" s="21">
        <v>100</v>
      </c>
      <c r="I42" s="22">
        <v>100</v>
      </c>
      <c r="J42" s="22">
        <v>100</v>
      </c>
      <c r="K42" s="22">
        <v>100</v>
      </c>
      <c r="L42" s="22">
        <v>100</v>
      </c>
      <c r="M42" s="22">
        <v>100</v>
      </c>
      <c r="N42" s="22">
        <v>100</v>
      </c>
      <c r="O42" t="s">
        <v>45</v>
      </c>
    </row>
    <row r="43" spans="2:15" ht="14" x14ac:dyDescent="0.15">
      <c r="B43" s="6" t="s">
        <v>33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t="s">
        <v>45</v>
      </c>
    </row>
    <row r="44" spans="2:15" ht="14" x14ac:dyDescent="0.15">
      <c r="B44" s="6" t="s">
        <v>34</v>
      </c>
      <c r="C44" s="21" t="s">
        <v>38</v>
      </c>
      <c r="D44" s="21" t="s">
        <v>38</v>
      </c>
      <c r="E44" s="21" t="s">
        <v>38</v>
      </c>
      <c r="F44" s="21" t="s">
        <v>38</v>
      </c>
      <c r="G44" s="21" t="s">
        <v>38</v>
      </c>
      <c r="H44" s="21" t="s">
        <v>38</v>
      </c>
      <c r="I44" s="22" t="s">
        <v>38</v>
      </c>
      <c r="J44" s="22" t="s">
        <v>38</v>
      </c>
      <c r="K44" s="22" t="s">
        <v>38</v>
      </c>
      <c r="L44" s="22" t="s">
        <v>38</v>
      </c>
      <c r="M44" s="22" t="s">
        <v>38</v>
      </c>
      <c r="N44" s="22" t="s">
        <v>38</v>
      </c>
    </row>
    <row r="45" spans="2:15" ht="14" x14ac:dyDescent="0.15">
      <c r="B45" s="6" t="s">
        <v>35</v>
      </c>
      <c r="C45" s="21" t="s">
        <v>39</v>
      </c>
      <c r="D45" s="21" t="s">
        <v>39</v>
      </c>
      <c r="E45" s="21" t="s">
        <v>39</v>
      </c>
      <c r="F45" s="21" t="s">
        <v>39</v>
      </c>
      <c r="G45" s="21" t="s">
        <v>39</v>
      </c>
      <c r="H45" s="21" t="s">
        <v>39</v>
      </c>
      <c r="I45" s="22" t="s">
        <v>39</v>
      </c>
      <c r="J45" s="22" t="s">
        <v>39</v>
      </c>
      <c r="K45" s="22" t="s">
        <v>39</v>
      </c>
      <c r="L45" s="22" t="s">
        <v>39</v>
      </c>
      <c r="M45" s="22" t="s">
        <v>39</v>
      </c>
      <c r="N45" s="22" t="s">
        <v>39</v>
      </c>
    </row>
    <row r="46" spans="2:15" ht="14" x14ac:dyDescent="0.15">
      <c r="B46" s="6" t="s">
        <v>36</v>
      </c>
      <c r="C46" s="18">
        <v>0</v>
      </c>
      <c r="D46" s="18">
        <v>0.2</v>
      </c>
      <c r="E46" s="18">
        <v>0.5</v>
      </c>
      <c r="F46" s="18">
        <v>1</v>
      </c>
      <c r="G46" s="19">
        <v>2</v>
      </c>
      <c r="H46" s="13">
        <v>3</v>
      </c>
      <c r="I46" s="13">
        <v>4</v>
      </c>
      <c r="J46" s="12">
        <v>5</v>
      </c>
      <c r="K46" s="17">
        <v>10</v>
      </c>
      <c r="L46" s="14">
        <v>15</v>
      </c>
      <c r="M46" s="20">
        <v>20</v>
      </c>
      <c r="N46" s="23" t="s">
        <v>40</v>
      </c>
    </row>
    <row r="47" spans="2:15" ht="14" x14ac:dyDescent="0.15">
      <c r="B47" s="6" t="s">
        <v>37</v>
      </c>
      <c r="C47" s="18">
        <v>0</v>
      </c>
      <c r="D47" s="18">
        <v>0.2</v>
      </c>
      <c r="E47" s="18">
        <v>0.5</v>
      </c>
      <c r="F47" s="18">
        <v>1</v>
      </c>
      <c r="G47" s="19">
        <v>2</v>
      </c>
      <c r="H47" s="13">
        <v>3</v>
      </c>
      <c r="I47" s="13">
        <v>4</v>
      </c>
      <c r="J47" s="12">
        <v>5</v>
      </c>
      <c r="K47" s="17">
        <v>10</v>
      </c>
      <c r="L47" s="14">
        <v>15</v>
      </c>
      <c r="M47" s="20">
        <v>20</v>
      </c>
      <c r="N47" s="23" t="s">
        <v>30</v>
      </c>
    </row>
    <row r="50" spans="2:25" ht="14" x14ac:dyDescent="0.15">
      <c r="B50" s="24" t="s">
        <v>41</v>
      </c>
      <c r="C50">
        <f>AVERAGE(N35:N36)</f>
        <v>316</v>
      </c>
    </row>
    <row r="51" spans="2:25" ht="14" x14ac:dyDescent="0.15">
      <c r="B51" s="24" t="s">
        <v>42</v>
      </c>
      <c r="C51">
        <f>AVERAGE(C46,C47)</f>
        <v>0</v>
      </c>
      <c r="D51">
        <f t="shared" ref="D51:I51" si="0">AVERAGE(D46,D47)</f>
        <v>0.2</v>
      </c>
      <c r="E51">
        <f t="shared" si="0"/>
        <v>0.5</v>
      </c>
      <c r="F51">
        <f t="shared" si="0"/>
        <v>1</v>
      </c>
      <c r="G51">
        <f t="shared" si="0"/>
        <v>2</v>
      </c>
      <c r="H51">
        <f t="shared" si="0"/>
        <v>3</v>
      </c>
      <c r="I51">
        <f t="shared" si="0"/>
        <v>4</v>
      </c>
      <c r="J51">
        <f>AVERAGE(J46,J47)</f>
        <v>5</v>
      </c>
      <c r="K51">
        <f>AVERAGE(K46,K47)</f>
        <v>10</v>
      </c>
      <c r="L51">
        <v>15</v>
      </c>
      <c r="M51">
        <v>20</v>
      </c>
      <c r="O51">
        <v>0</v>
      </c>
      <c r="P51">
        <v>0.2</v>
      </c>
      <c r="Q51">
        <v>0.5</v>
      </c>
      <c r="R51">
        <v>1</v>
      </c>
      <c r="S51">
        <v>2</v>
      </c>
      <c r="T51">
        <v>3</v>
      </c>
      <c r="U51">
        <v>4</v>
      </c>
      <c r="V51">
        <v>5</v>
      </c>
      <c r="W51">
        <v>10</v>
      </c>
      <c r="X51">
        <v>15</v>
      </c>
      <c r="Y51">
        <v>20</v>
      </c>
    </row>
    <row r="52" spans="2:25" x14ac:dyDescent="0.15">
      <c r="C52">
        <f>AVERAGE(C35:C36)</f>
        <v>14964</v>
      </c>
      <c r="D52">
        <f t="shared" ref="D52:M52" si="1">AVERAGE(D35:D36)</f>
        <v>17397.5</v>
      </c>
      <c r="E52">
        <f t="shared" si="1"/>
        <v>23179.5</v>
      </c>
      <c r="F52">
        <f t="shared" si="1"/>
        <v>27924.5</v>
      </c>
      <c r="G52">
        <f t="shared" si="1"/>
        <v>32848.5</v>
      </c>
      <c r="H52">
        <f t="shared" si="1"/>
        <v>43538.5</v>
      </c>
      <c r="I52">
        <f t="shared" si="1"/>
        <v>50921</v>
      </c>
      <c r="J52">
        <f t="shared" si="1"/>
        <v>65080.5</v>
      </c>
      <c r="K52">
        <f t="shared" si="1"/>
        <v>106283</v>
      </c>
      <c r="L52">
        <f t="shared" si="1"/>
        <v>142290</v>
      </c>
      <c r="M52">
        <f t="shared" si="1"/>
        <v>183963.5</v>
      </c>
      <c r="O52">
        <v>0</v>
      </c>
      <c r="P52">
        <v>2433.5</v>
      </c>
      <c r="Q52">
        <v>8215.5</v>
      </c>
      <c r="R52">
        <v>12960.5</v>
      </c>
      <c r="S52">
        <v>17884.5</v>
      </c>
      <c r="T52">
        <v>28574.5</v>
      </c>
      <c r="U52">
        <v>35957</v>
      </c>
      <c r="V52">
        <v>50116.5</v>
      </c>
      <c r="W52">
        <v>91319</v>
      </c>
      <c r="X52">
        <v>127326</v>
      </c>
      <c r="Y52">
        <v>168999.5</v>
      </c>
    </row>
    <row r="53" spans="2:25" ht="28" x14ac:dyDescent="0.15">
      <c r="B53" s="24" t="s">
        <v>43</v>
      </c>
      <c r="C53">
        <f>C52-316</f>
        <v>14648</v>
      </c>
      <c r="D53">
        <f t="shared" ref="D53:M53" si="2">D52-316</f>
        <v>17081.5</v>
      </c>
      <c r="E53">
        <f t="shared" si="2"/>
        <v>22863.5</v>
      </c>
      <c r="F53">
        <f t="shared" si="2"/>
        <v>27608.5</v>
      </c>
      <c r="G53">
        <f t="shared" si="2"/>
        <v>32532.5</v>
      </c>
      <c r="H53">
        <f t="shared" si="2"/>
        <v>43222.5</v>
      </c>
      <c r="I53">
        <f t="shared" si="2"/>
        <v>50605</v>
      </c>
      <c r="J53">
        <f t="shared" si="2"/>
        <v>64764.5</v>
      </c>
      <c r="K53">
        <f t="shared" si="2"/>
        <v>105967</v>
      </c>
      <c r="L53">
        <f t="shared" si="2"/>
        <v>141974</v>
      </c>
      <c r="M53">
        <f t="shared" si="2"/>
        <v>183647.5</v>
      </c>
    </row>
    <row r="54" spans="2:25" ht="42" x14ac:dyDescent="0.15">
      <c r="B54" s="25" t="s">
        <v>44</v>
      </c>
      <c r="C54">
        <f>C53-14648</f>
        <v>0</v>
      </c>
      <c r="D54">
        <f t="shared" ref="D54:M54" si="3">D53-14648</f>
        <v>2433.5</v>
      </c>
      <c r="E54">
        <f t="shared" si="3"/>
        <v>8215.5</v>
      </c>
      <c r="F54">
        <f t="shared" si="3"/>
        <v>12960.5</v>
      </c>
      <c r="G54">
        <f t="shared" si="3"/>
        <v>17884.5</v>
      </c>
      <c r="H54">
        <f t="shared" si="3"/>
        <v>28574.5</v>
      </c>
      <c r="I54">
        <f t="shared" si="3"/>
        <v>35957</v>
      </c>
      <c r="J54">
        <f t="shared" si="3"/>
        <v>50116.5</v>
      </c>
      <c r="K54">
        <f t="shared" si="3"/>
        <v>91319</v>
      </c>
      <c r="L54">
        <f t="shared" si="3"/>
        <v>127326</v>
      </c>
      <c r="M54">
        <f t="shared" si="3"/>
        <v>168999.5</v>
      </c>
    </row>
    <row r="57" spans="2:25" ht="14" x14ac:dyDescent="0.15">
      <c r="B57" s="6" t="s">
        <v>46</v>
      </c>
      <c r="C57" s="26"/>
      <c r="D57" s="26"/>
      <c r="E57" s="26"/>
      <c r="F57" s="26"/>
      <c r="G57" s="26"/>
      <c r="H57" s="26"/>
      <c r="I57" s="26">
        <f>I29-C29</f>
        <v>84322</v>
      </c>
      <c r="J57" s="26">
        <f t="shared" ref="J57:N57" si="4">J29-D29</f>
        <v>93672</v>
      </c>
      <c r="K57" s="26">
        <f t="shared" si="4"/>
        <v>83526</v>
      </c>
      <c r="L57" s="26">
        <f t="shared" si="4"/>
        <v>90703</v>
      </c>
      <c r="M57" s="26">
        <f t="shared" si="4"/>
        <v>102759</v>
      </c>
      <c r="N57" s="26">
        <f t="shared" si="4"/>
        <v>69593</v>
      </c>
    </row>
    <row r="58" spans="2:25" ht="14" x14ac:dyDescent="0.15">
      <c r="B58" s="6" t="s">
        <v>31</v>
      </c>
      <c r="C58" s="26"/>
      <c r="D58" s="26"/>
      <c r="E58" s="26"/>
      <c r="F58" s="26"/>
      <c r="G58" s="26"/>
      <c r="H58" s="26"/>
      <c r="I58" s="26">
        <f t="shared" ref="I58:I62" si="5">I30-C30</f>
        <v>62813</v>
      </c>
      <c r="J58" s="26">
        <f t="shared" ref="J58:J62" si="6">J30-D30</f>
        <v>53385</v>
      </c>
      <c r="K58" s="26">
        <f t="shared" ref="K58:K62" si="7">K30-E30</f>
        <v>58960</v>
      </c>
      <c r="L58" s="26">
        <f t="shared" ref="L58:L62" si="8">L30-F30</f>
        <v>54334</v>
      </c>
      <c r="M58" s="26">
        <f t="shared" ref="M58:M62" si="9">M30-G30</f>
        <v>60221</v>
      </c>
      <c r="N58" s="26">
        <f t="shared" ref="N58:N62" si="10">N30-H30</f>
        <v>59888</v>
      </c>
    </row>
    <row r="59" spans="2:25" ht="14" x14ac:dyDescent="0.15">
      <c r="B59" s="6" t="s">
        <v>32</v>
      </c>
      <c r="C59" s="26"/>
      <c r="D59" s="26"/>
      <c r="E59" s="26"/>
      <c r="F59" s="26"/>
      <c r="G59" s="26"/>
      <c r="H59" s="26"/>
      <c r="I59" s="26">
        <f t="shared" si="5"/>
        <v>60101</v>
      </c>
      <c r="J59" s="26">
        <f t="shared" si="6"/>
        <v>62070</v>
      </c>
      <c r="K59" s="26">
        <f t="shared" si="7"/>
        <v>71206</v>
      </c>
      <c r="L59" s="26">
        <f t="shared" si="8"/>
        <v>66023</v>
      </c>
      <c r="M59" s="26">
        <f>M31-G31</f>
        <v>68906</v>
      </c>
      <c r="N59" s="26">
        <f t="shared" si="10"/>
        <v>65837</v>
      </c>
    </row>
    <row r="60" spans="2:25" ht="14" x14ac:dyDescent="0.15">
      <c r="B60" s="6" t="s">
        <v>33</v>
      </c>
      <c r="C60" s="26"/>
      <c r="D60" s="26"/>
      <c r="E60" s="26"/>
      <c r="F60" s="26"/>
      <c r="G60" s="26"/>
      <c r="H60" s="26"/>
      <c r="I60" s="26">
        <f t="shared" si="5"/>
        <v>54561</v>
      </c>
      <c r="J60" s="26">
        <f t="shared" si="6"/>
        <v>52676</v>
      </c>
      <c r="K60" s="26">
        <f t="shared" si="7"/>
        <v>55284</v>
      </c>
      <c r="L60" s="26">
        <f t="shared" si="8"/>
        <v>53182</v>
      </c>
      <c r="M60" s="26">
        <f t="shared" si="9"/>
        <v>50106</v>
      </c>
      <c r="N60" s="26">
        <f t="shared" si="10"/>
        <v>46143</v>
      </c>
    </row>
    <row r="61" spans="2:25" ht="14" x14ac:dyDescent="0.15">
      <c r="B61" s="6" t="s">
        <v>34</v>
      </c>
      <c r="C61" s="26"/>
      <c r="D61" s="26"/>
      <c r="E61" s="26"/>
      <c r="F61" s="26"/>
      <c r="G61" s="26"/>
      <c r="H61" s="26"/>
      <c r="I61" s="26">
        <f t="shared" si="5"/>
        <v>65152</v>
      </c>
      <c r="J61" s="26">
        <f t="shared" si="6"/>
        <v>70937</v>
      </c>
      <c r="K61" s="26">
        <f t="shared" si="7"/>
        <v>71809</v>
      </c>
      <c r="L61" s="26">
        <f t="shared" si="8"/>
        <v>70277</v>
      </c>
      <c r="M61" s="26">
        <f t="shared" si="9"/>
        <v>75177</v>
      </c>
      <c r="N61" s="26">
        <f t="shared" si="10"/>
        <v>71361</v>
      </c>
    </row>
    <row r="62" spans="2:25" ht="14" x14ac:dyDescent="0.15">
      <c r="B62" s="6" t="s">
        <v>35</v>
      </c>
      <c r="C62" s="26"/>
      <c r="D62" s="26"/>
      <c r="E62" s="26"/>
      <c r="F62" s="26"/>
      <c r="G62" s="26"/>
      <c r="H62" s="26"/>
      <c r="I62" s="26">
        <f t="shared" si="5"/>
        <v>152606</v>
      </c>
      <c r="J62" s="26">
        <f t="shared" si="6"/>
        <v>136018</v>
      </c>
      <c r="K62" s="26">
        <f t="shared" si="7"/>
        <v>120752</v>
      </c>
      <c r="L62" s="26">
        <f t="shared" si="8"/>
        <v>138669</v>
      </c>
      <c r="M62" s="26">
        <f t="shared" si="9"/>
        <v>108518</v>
      </c>
      <c r="N62" s="26">
        <f t="shared" si="10"/>
        <v>118503</v>
      </c>
    </row>
    <row r="63" spans="2:25" ht="14" x14ac:dyDescent="0.15">
      <c r="B63" s="6" t="s">
        <v>36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spans="2:25" ht="14" x14ac:dyDescent="0.15">
      <c r="B64" s="6" t="s">
        <v>37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</row>
    <row r="66" spans="2:18" ht="28" x14ac:dyDescent="0.15">
      <c r="B66" s="24" t="s">
        <v>47</v>
      </c>
    </row>
    <row r="67" spans="2:18" ht="28" x14ac:dyDescent="0.15">
      <c r="B67" s="5" t="s">
        <v>48</v>
      </c>
      <c r="C67" s="26"/>
      <c r="D67" s="26"/>
      <c r="E67" s="26"/>
      <c r="F67" s="26"/>
      <c r="G67" s="26"/>
      <c r="H67" s="26"/>
      <c r="I67" s="26">
        <f>(I57-3144.5)/8388.7</f>
        <v>9.6770059723199058</v>
      </c>
      <c r="J67" s="26">
        <f t="shared" ref="J67:N67" si="11">(J57-3144.5)/8388.7</f>
        <v>10.791600605576548</v>
      </c>
      <c r="K67" s="26">
        <f t="shared" si="11"/>
        <v>9.5821164185153833</v>
      </c>
      <c r="L67" s="26">
        <f t="shared" si="11"/>
        <v>10.437672106524252</v>
      </c>
      <c r="M67" s="26">
        <f t="shared" si="11"/>
        <v>11.874843539523406</v>
      </c>
      <c r="N67" s="26">
        <f t="shared" si="11"/>
        <v>7.9211916029897358</v>
      </c>
    </row>
    <row r="68" spans="2:18" ht="14" x14ac:dyDescent="0.15">
      <c r="B68" s="6" t="s">
        <v>31</v>
      </c>
      <c r="C68" s="26"/>
      <c r="D68" s="26"/>
      <c r="E68" s="26"/>
      <c r="F68" s="26"/>
      <c r="G68" s="26"/>
      <c r="H68" s="26"/>
      <c r="I68" s="26">
        <f t="shared" ref="I68:N68" si="12">(I58-3144.5)/8388.7</f>
        <v>7.1129614839009614</v>
      </c>
      <c r="J68" s="26">
        <f t="shared" si="12"/>
        <v>5.9890686280353327</v>
      </c>
      <c r="K68" s="26">
        <f t="shared" si="12"/>
        <v>6.6536531286134917</v>
      </c>
      <c r="L68" s="26">
        <f t="shared" si="12"/>
        <v>6.1021970031113275</v>
      </c>
      <c r="M68" s="26">
        <f t="shared" si="12"/>
        <v>6.8039743941254303</v>
      </c>
      <c r="N68" s="26">
        <f t="shared" si="12"/>
        <v>6.7642781360639903</v>
      </c>
    </row>
    <row r="69" spans="2:18" ht="14" x14ac:dyDescent="0.15">
      <c r="B69" s="6" t="s">
        <v>32</v>
      </c>
      <c r="C69" s="26"/>
      <c r="D69" s="26"/>
      <c r="E69" s="26"/>
      <c r="F69" s="26"/>
      <c r="G69" s="26"/>
      <c r="H69" s="26"/>
      <c r="I69" s="26">
        <f t="shared" ref="I69:N69" si="13">(I59-3144.5)/8388.7</f>
        <v>6.7896694362654522</v>
      </c>
      <c r="J69" s="26">
        <f t="shared" si="13"/>
        <v>7.0243899531512621</v>
      </c>
      <c r="K69" s="26">
        <f t="shared" si="13"/>
        <v>8.1134740782242769</v>
      </c>
      <c r="L69" s="26">
        <f t="shared" si="13"/>
        <v>7.495619106655381</v>
      </c>
      <c r="M69" s="26">
        <f>(M59-3144.5)/8388.7</f>
        <v>7.8392957192413597</v>
      </c>
      <c r="N69" s="26">
        <f t="shared" si="13"/>
        <v>7.4734464219724144</v>
      </c>
    </row>
    <row r="70" spans="2:18" ht="14" x14ac:dyDescent="0.15">
      <c r="B70" s="6" t="s">
        <v>33</v>
      </c>
      <c r="C70" s="26"/>
      <c r="D70" s="26"/>
      <c r="E70" s="26"/>
      <c r="F70" s="26"/>
      <c r="G70" s="26"/>
      <c r="H70" s="26"/>
      <c r="I70" s="26">
        <f t="shared" ref="I70:N70" si="14">(I60-3144.5)/8388.7</f>
        <v>6.1292572150631202</v>
      </c>
      <c r="J70" s="26">
        <f t="shared" si="14"/>
        <v>5.9045501686792941</v>
      </c>
      <c r="K70" s="26">
        <f t="shared" si="14"/>
        <v>6.2154445861694896</v>
      </c>
      <c r="L70" s="26">
        <f t="shared" si="14"/>
        <v>5.9648694076555362</v>
      </c>
      <c r="M70" s="26">
        <f t="shared" si="14"/>
        <v>5.5981856545114255</v>
      </c>
      <c r="N70" s="26">
        <f t="shared" si="14"/>
        <v>5.1257644211856421</v>
      </c>
      <c r="R70" t="s">
        <v>49</v>
      </c>
    </row>
    <row r="71" spans="2:18" ht="14" x14ac:dyDescent="0.15">
      <c r="B71" s="6" t="s">
        <v>34</v>
      </c>
      <c r="C71" s="26"/>
      <c r="D71" s="26"/>
      <c r="E71" s="26"/>
      <c r="F71" s="26"/>
      <c r="G71" s="26"/>
      <c r="H71" s="26"/>
      <c r="I71" s="26">
        <f t="shared" ref="I71:N71" si="15">(I61-3144.5)/8388.7</f>
        <v>7.3917889541883719</v>
      </c>
      <c r="J71" s="26">
        <f t="shared" si="15"/>
        <v>8.0814071310214928</v>
      </c>
      <c r="K71" s="26">
        <f t="shared" si="15"/>
        <v>8.1853564914706674</v>
      </c>
      <c r="L71" s="26">
        <f t="shared" si="15"/>
        <v>8.002729862791611</v>
      </c>
      <c r="M71" s="26">
        <f t="shared" si="15"/>
        <v>8.586848975407392</v>
      </c>
      <c r="N71" s="26">
        <f t="shared" si="15"/>
        <v>8.131951315460082</v>
      </c>
      <c r="R71" t="s">
        <v>50</v>
      </c>
    </row>
    <row r="72" spans="2:18" ht="14" x14ac:dyDescent="0.15">
      <c r="B72" s="6" t="s">
        <v>35</v>
      </c>
      <c r="C72" s="26"/>
      <c r="D72" s="26"/>
      <c r="E72" s="26"/>
      <c r="F72" s="26"/>
      <c r="G72" s="26"/>
      <c r="H72" s="26"/>
      <c r="I72" s="26">
        <f t="shared" ref="I72:N72" si="16">(I62-3144.5)/8388.7</f>
        <v>17.817003826576226</v>
      </c>
      <c r="J72" s="26">
        <f t="shared" si="16"/>
        <v>15.839581818398559</v>
      </c>
      <c r="K72" s="26">
        <f t="shared" si="16"/>
        <v>14.019752762644986</v>
      </c>
      <c r="L72" s="26">
        <f t="shared" si="16"/>
        <v>16.155602179121914</v>
      </c>
      <c r="M72" s="26">
        <f t="shared" si="16"/>
        <v>12.561362308820197</v>
      </c>
      <c r="N72" s="26">
        <f t="shared" si="16"/>
        <v>13.751654010752558</v>
      </c>
    </row>
    <row r="73" spans="2:18" ht="14" x14ac:dyDescent="0.15">
      <c r="B73" s="6" t="s">
        <v>36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</row>
    <row r="74" spans="2:18" ht="14" x14ac:dyDescent="0.15">
      <c r="B74" s="6" t="s">
        <v>37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</row>
    <row r="77" spans="2:18" ht="28" x14ac:dyDescent="0.15">
      <c r="B77" s="24" t="s">
        <v>51</v>
      </c>
    </row>
    <row r="78" spans="2:18" ht="28" x14ac:dyDescent="0.15">
      <c r="B78" s="5" t="s">
        <v>52</v>
      </c>
      <c r="C78" s="26"/>
      <c r="D78" s="26"/>
      <c r="E78" s="26"/>
      <c r="F78" s="26"/>
      <c r="G78" s="26"/>
      <c r="H78" s="26"/>
      <c r="I78" s="26">
        <f>(I67/25)*500</f>
        <v>193.54011944639814</v>
      </c>
      <c r="J78" s="26">
        <f t="shared" ref="J78:N78" si="17">(J67/25)*500</f>
        <v>215.83201211153096</v>
      </c>
      <c r="K78" s="26">
        <f t="shared" si="17"/>
        <v>191.64232837030767</v>
      </c>
      <c r="L78" s="26">
        <f t="shared" si="17"/>
        <v>208.75344213048501</v>
      </c>
      <c r="M78" s="26">
        <f t="shared" si="17"/>
        <v>237.49687079046811</v>
      </c>
      <c r="N78" s="26">
        <f t="shared" si="17"/>
        <v>158.42383205979471</v>
      </c>
    </row>
    <row r="79" spans="2:18" ht="14" x14ac:dyDescent="0.15">
      <c r="B79" s="6" t="s">
        <v>31</v>
      </c>
      <c r="C79" s="26"/>
      <c r="D79" s="26"/>
      <c r="E79" s="26"/>
      <c r="F79" s="26"/>
      <c r="G79" s="26"/>
      <c r="H79" s="26"/>
      <c r="I79" s="26">
        <f t="shared" ref="I79:N79" si="18">(I68/25)*500</f>
        <v>142.25922967801924</v>
      </c>
      <c r="J79" s="26">
        <f t="shared" si="18"/>
        <v>119.78137256070666</v>
      </c>
      <c r="K79" s="26">
        <f t="shared" si="18"/>
        <v>133.07306257226983</v>
      </c>
      <c r="L79" s="26">
        <f t="shared" si="18"/>
        <v>122.04394006222655</v>
      </c>
      <c r="M79" s="26">
        <f t="shared" si="18"/>
        <v>136.0794878825086</v>
      </c>
      <c r="N79" s="26">
        <f t="shared" si="18"/>
        <v>135.2855627212798</v>
      </c>
    </row>
    <row r="80" spans="2:18" ht="14" x14ac:dyDescent="0.15">
      <c r="B80" s="6" t="s">
        <v>32</v>
      </c>
      <c r="C80" s="26"/>
      <c r="D80" s="26"/>
      <c r="E80" s="26"/>
      <c r="F80" s="26"/>
      <c r="G80" s="26"/>
      <c r="H80" s="26"/>
      <c r="I80" s="26">
        <f t="shared" ref="I80:N80" si="19">(I69/25)*500</f>
        <v>135.79338872530906</v>
      </c>
      <c r="J80" s="26">
        <f t="shared" si="19"/>
        <v>140.48779906302525</v>
      </c>
      <c r="K80" s="26">
        <f t="shared" si="19"/>
        <v>162.26948156448555</v>
      </c>
      <c r="L80" s="26">
        <f t="shared" si="19"/>
        <v>149.91238213310763</v>
      </c>
      <c r="M80" s="26">
        <f>(M69/25)*500</f>
        <v>156.78591438482721</v>
      </c>
      <c r="N80" s="26">
        <f t="shared" si="19"/>
        <v>149.46892843944829</v>
      </c>
    </row>
    <row r="81" spans="2:21" ht="14" x14ac:dyDescent="0.15">
      <c r="B81" s="6" t="s">
        <v>33</v>
      </c>
      <c r="C81" s="26"/>
      <c r="D81" s="26"/>
      <c r="E81" s="26"/>
      <c r="F81" s="26"/>
      <c r="G81" s="26"/>
      <c r="H81" s="26"/>
      <c r="I81" s="26">
        <f t="shared" ref="I81:N81" si="20">(I70/25)*500</f>
        <v>122.5851443012624</v>
      </c>
      <c r="J81" s="26">
        <f t="shared" si="20"/>
        <v>118.09100337358588</v>
      </c>
      <c r="K81" s="26">
        <f t="shared" si="20"/>
        <v>124.30889172338979</v>
      </c>
      <c r="L81" s="26">
        <f t="shared" si="20"/>
        <v>119.29738815311072</v>
      </c>
      <c r="M81" s="26">
        <f t="shared" si="20"/>
        <v>111.96371309022851</v>
      </c>
      <c r="N81" s="26">
        <f t="shared" si="20"/>
        <v>102.51528842371283</v>
      </c>
    </row>
    <row r="82" spans="2:21" ht="14" x14ac:dyDescent="0.15">
      <c r="B82" s="6" t="s">
        <v>34</v>
      </c>
      <c r="C82" s="26"/>
      <c r="D82" s="26"/>
      <c r="E82" s="26"/>
      <c r="F82" s="26"/>
      <c r="G82" s="26"/>
      <c r="H82" s="26"/>
      <c r="I82" s="26">
        <f t="shared" ref="I82:N82" si="21">(I71/25)*500</f>
        <v>147.83577908376745</v>
      </c>
      <c r="J82" s="26">
        <f t="shared" si="21"/>
        <v>161.62814262042986</v>
      </c>
      <c r="K82" s="26">
        <f t="shared" si="21"/>
        <v>163.70712982941336</v>
      </c>
      <c r="L82" s="26">
        <f t="shared" si="21"/>
        <v>160.05459725583222</v>
      </c>
      <c r="M82" s="26">
        <f t="shared" si="21"/>
        <v>171.73697950814784</v>
      </c>
      <c r="N82" s="26">
        <f t="shared" si="21"/>
        <v>162.63902630920163</v>
      </c>
    </row>
    <row r="83" spans="2:21" ht="14" x14ac:dyDescent="0.15">
      <c r="B83" s="6" t="s">
        <v>35</v>
      </c>
      <c r="C83" s="26"/>
      <c r="D83" s="26"/>
      <c r="E83" s="26"/>
      <c r="F83" s="26"/>
      <c r="G83" s="26"/>
      <c r="H83" s="26"/>
      <c r="I83" s="26">
        <f t="shared" ref="I83:N83" si="22">(I72/25)*500</f>
        <v>356.34007653152452</v>
      </c>
      <c r="J83" s="26">
        <f t="shared" si="22"/>
        <v>316.79163636797119</v>
      </c>
      <c r="K83" s="26">
        <f t="shared" si="22"/>
        <v>280.39505525289968</v>
      </c>
      <c r="L83" s="26">
        <f t="shared" si="22"/>
        <v>323.11204358243828</v>
      </c>
      <c r="M83" s="26">
        <f t="shared" si="22"/>
        <v>251.22724617640395</v>
      </c>
      <c r="N83" s="26">
        <f t="shared" si="22"/>
        <v>275.0330802150512</v>
      </c>
    </row>
    <row r="84" spans="2:21" ht="14" x14ac:dyDescent="0.15">
      <c r="B84" s="6" t="s">
        <v>36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2:21" ht="14" x14ac:dyDescent="0.15">
      <c r="B85" s="6" t="s">
        <v>37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8" spans="2:21" ht="28" x14ac:dyDescent="0.15">
      <c r="B88" s="24" t="s">
        <v>54</v>
      </c>
      <c r="O88" t="s">
        <v>57</v>
      </c>
      <c r="P88" t="s">
        <v>58</v>
      </c>
      <c r="Q88" s="29" t="s">
        <v>60</v>
      </c>
      <c r="R88" s="29"/>
      <c r="T88" s="30" t="s">
        <v>62</v>
      </c>
      <c r="U88" s="30"/>
    </row>
    <row r="89" spans="2:21" ht="28" x14ac:dyDescent="0.15">
      <c r="B89" s="5" t="s">
        <v>53</v>
      </c>
      <c r="C89" s="27"/>
      <c r="D89" s="26"/>
      <c r="E89" s="26"/>
      <c r="F89" s="26"/>
      <c r="G89" s="26"/>
      <c r="H89" s="22">
        <v>100</v>
      </c>
      <c r="I89" s="26">
        <f>I78/100</f>
        <v>1.9354011944639813</v>
      </c>
      <c r="J89" s="26">
        <f t="shared" ref="J89:N89" si="23">J78/100</f>
        <v>2.1583201211153096</v>
      </c>
      <c r="K89" s="26">
        <f t="shared" si="23"/>
        <v>1.9164232837030766</v>
      </c>
      <c r="L89" s="26">
        <f t="shared" si="23"/>
        <v>2.0875344213048503</v>
      </c>
      <c r="M89" s="26">
        <f t="shared" si="23"/>
        <v>2.3749687079046811</v>
      </c>
      <c r="N89" s="26">
        <f t="shared" si="23"/>
        <v>1.5842383205979471</v>
      </c>
      <c r="O89" s="28">
        <f>AVERAGE(I89:N89)</f>
        <v>2.0094810081816412</v>
      </c>
      <c r="P89" s="28">
        <f>STDEVA(I89:N89)</f>
        <v>0.26713501369789378</v>
      </c>
      <c r="Q89">
        <f>_xlfn.T.TEST(I90:N90,I89:N89,2,2)</f>
        <v>1.2188848856191698E-4</v>
      </c>
    </row>
    <row r="90" spans="2:21" ht="14" x14ac:dyDescent="0.15">
      <c r="B90" s="6" t="s">
        <v>31</v>
      </c>
      <c r="C90" s="26"/>
      <c r="D90" s="26"/>
      <c r="E90" s="26"/>
      <c r="F90" s="26"/>
      <c r="G90" s="26"/>
      <c r="H90" s="22">
        <v>0</v>
      </c>
      <c r="I90" s="26">
        <f t="shared" ref="I90:N90" si="24">I79/100</f>
        <v>1.4225922967801923</v>
      </c>
      <c r="J90" s="26">
        <f t="shared" si="24"/>
        <v>1.1978137256070667</v>
      </c>
      <c r="K90" s="26">
        <f t="shared" si="24"/>
        <v>1.3307306257226983</v>
      </c>
      <c r="L90" s="26">
        <f t="shared" si="24"/>
        <v>1.2204394006222656</v>
      </c>
      <c r="M90" s="26">
        <f t="shared" si="24"/>
        <v>1.3607948788250861</v>
      </c>
      <c r="N90" s="26">
        <f t="shared" si="24"/>
        <v>1.3528556272127981</v>
      </c>
      <c r="O90" s="28">
        <f t="shared" ref="O90:O94" si="25">AVERAGE(I90:N90)</f>
        <v>1.3142044257950178</v>
      </c>
      <c r="P90" s="28">
        <f t="shared" ref="P90:P94" si="26">STDEVA(I90:N90)</f>
        <v>8.7205855974494831E-2</v>
      </c>
    </row>
    <row r="91" spans="2:21" ht="14" x14ac:dyDescent="0.15">
      <c r="B91" s="6" t="s">
        <v>32</v>
      </c>
      <c r="C91" s="26"/>
      <c r="D91" s="26"/>
      <c r="E91" s="26"/>
      <c r="F91" s="26"/>
      <c r="G91" s="26"/>
      <c r="H91" s="22" t="s">
        <v>55</v>
      </c>
      <c r="I91" s="26">
        <f t="shared" ref="I91:N91" si="27">I80/100</f>
        <v>1.3579338872530906</v>
      </c>
      <c r="J91" s="26">
        <f t="shared" si="27"/>
        <v>1.4048779906302524</v>
      </c>
      <c r="K91" s="26">
        <f t="shared" si="27"/>
        <v>1.6226948156448555</v>
      </c>
      <c r="L91" s="26">
        <f t="shared" si="27"/>
        <v>1.4991238213310762</v>
      </c>
      <c r="M91" s="26">
        <f>M80/100</f>
        <v>1.5678591438482721</v>
      </c>
      <c r="N91" s="26">
        <f t="shared" si="27"/>
        <v>1.494689284394483</v>
      </c>
      <c r="O91" s="28">
        <f>AVERAGE(I91:N91)</f>
        <v>1.491196490517005</v>
      </c>
      <c r="P91" s="28">
        <f t="shared" si="26"/>
        <v>9.8441677110359047E-2</v>
      </c>
      <c r="T91">
        <f>_xlfn.T.TEST(I91:N91,I89:N89,2,2)</f>
        <v>1.2175367676019126E-3</v>
      </c>
    </row>
    <row r="92" spans="2:21" ht="14" x14ac:dyDescent="0.15">
      <c r="B92" s="6" t="s">
        <v>33</v>
      </c>
      <c r="C92" s="26"/>
      <c r="D92" s="26"/>
      <c r="E92" s="26"/>
      <c r="F92" s="26"/>
      <c r="G92" s="26"/>
      <c r="H92" s="22" t="s">
        <v>56</v>
      </c>
      <c r="I92" s="26">
        <f t="shared" ref="I92:N92" si="28">I81/100</f>
        <v>1.2258514430126239</v>
      </c>
      <c r="J92" s="26">
        <f t="shared" si="28"/>
        <v>1.1809100337358587</v>
      </c>
      <c r="K92" s="26">
        <f t="shared" si="28"/>
        <v>1.2430889172338979</v>
      </c>
      <c r="L92" s="26">
        <f t="shared" si="28"/>
        <v>1.1929738815311071</v>
      </c>
      <c r="M92" s="26">
        <f t="shared" si="28"/>
        <v>1.119637130902285</v>
      </c>
      <c r="N92" s="26">
        <f t="shared" si="28"/>
        <v>1.0251528842371282</v>
      </c>
      <c r="O92" s="28">
        <f t="shared" si="25"/>
        <v>1.1646023817754836</v>
      </c>
      <c r="P92" s="28">
        <f t="shared" si="26"/>
        <v>8.0561158645254635E-2</v>
      </c>
      <c r="T92">
        <f>_xlfn.T.TEST(I92:N92,I90:N90,2,2)</f>
        <v>1.1510343778876268E-2</v>
      </c>
    </row>
    <row r="93" spans="2:21" ht="14" x14ac:dyDescent="0.15">
      <c r="B93" s="6" t="s">
        <v>34</v>
      </c>
      <c r="C93" s="26"/>
      <c r="D93" s="26"/>
      <c r="E93" s="26"/>
      <c r="F93" s="26"/>
      <c r="G93" s="26"/>
      <c r="H93" s="22" t="s">
        <v>68</v>
      </c>
      <c r="I93" s="26">
        <f t="shared" ref="I93:N93" si="29">I82/100</f>
        <v>1.4783577908376744</v>
      </c>
      <c r="J93" s="26">
        <f t="shared" si="29"/>
        <v>1.6162814262042986</v>
      </c>
      <c r="K93" s="26">
        <f t="shared" si="29"/>
        <v>1.6370712982941336</v>
      </c>
      <c r="L93" s="26">
        <f t="shared" si="29"/>
        <v>1.6005459725583222</v>
      </c>
      <c r="M93" s="26">
        <f t="shared" si="29"/>
        <v>1.7173697950814784</v>
      </c>
      <c r="N93" s="26">
        <f t="shared" si="29"/>
        <v>1.6263902630920162</v>
      </c>
      <c r="O93" s="28">
        <f>AVERAGE(I93:N93)</f>
        <v>1.6126694243446538</v>
      </c>
      <c r="P93" s="28">
        <f t="shared" si="26"/>
        <v>7.7389301633454047E-2</v>
      </c>
      <c r="Q93">
        <f>_xlfn.T.TEST(I89:N89,I93:N93,2,2)</f>
        <v>5.7759462046209917E-3</v>
      </c>
      <c r="R93" s="29" t="s">
        <v>59</v>
      </c>
      <c r="S93" s="29"/>
    </row>
    <row r="94" spans="2:21" ht="14" x14ac:dyDescent="0.15">
      <c r="B94" s="6" t="s">
        <v>35</v>
      </c>
      <c r="C94" s="26"/>
      <c r="D94" s="26"/>
      <c r="E94" s="26"/>
      <c r="F94" s="26"/>
      <c r="G94" s="26"/>
      <c r="H94" s="22" t="s">
        <v>39</v>
      </c>
      <c r="I94" s="26">
        <f t="shared" ref="I94:N94" si="30">I83/100</f>
        <v>3.5634007653152451</v>
      </c>
      <c r="J94" s="26">
        <f t="shared" si="30"/>
        <v>3.1679163636797121</v>
      </c>
      <c r="K94" s="26">
        <f t="shared" si="30"/>
        <v>2.8039505525289967</v>
      </c>
      <c r="L94" s="26">
        <f t="shared" si="30"/>
        <v>3.2311204358243826</v>
      </c>
      <c r="M94" s="26">
        <f t="shared" si="30"/>
        <v>2.5122724617640397</v>
      </c>
      <c r="N94" s="26">
        <f t="shared" si="30"/>
        <v>2.7503308021505122</v>
      </c>
      <c r="O94" s="28">
        <f t="shared" si="25"/>
        <v>3.0048318968771484</v>
      </c>
      <c r="P94" s="28">
        <f t="shared" si="26"/>
        <v>0.38406800069843733</v>
      </c>
    </row>
    <row r="95" spans="2:21" ht="14" x14ac:dyDescent="0.15">
      <c r="B95" s="6" t="s">
        <v>36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</row>
    <row r="96" spans="2:21" ht="14" x14ac:dyDescent="0.15">
      <c r="B96" s="6" t="s">
        <v>37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</row>
    <row r="97" spans="2:18" x14ac:dyDescent="0.15">
      <c r="C97" s="29" t="s">
        <v>61</v>
      </c>
      <c r="D97" s="29"/>
      <c r="E97" s="29"/>
      <c r="P97" s="30" t="s">
        <v>63</v>
      </c>
      <c r="Q97" t="s">
        <v>57</v>
      </c>
      <c r="R97" t="s">
        <v>58</v>
      </c>
    </row>
    <row r="98" spans="2:18" x14ac:dyDescent="0.15">
      <c r="D98" t="s">
        <v>57</v>
      </c>
      <c r="E98" t="s">
        <v>58</v>
      </c>
      <c r="P98" t="s">
        <v>66</v>
      </c>
      <c r="Q98">
        <v>1.3142044257950178</v>
      </c>
      <c r="R98">
        <v>8.7205855974494831E-2</v>
      </c>
    </row>
    <row r="99" spans="2:18" x14ac:dyDescent="0.15">
      <c r="C99">
        <v>0</v>
      </c>
      <c r="D99" s="28">
        <v>1.3142044257950178</v>
      </c>
      <c r="E99">
        <v>8.7205855974494831E-2</v>
      </c>
      <c r="P99" t="s">
        <v>67</v>
      </c>
      <c r="Q99">
        <v>1.1646023817754836</v>
      </c>
      <c r="R99">
        <v>8.0561158645254635E-2</v>
      </c>
    </row>
    <row r="100" spans="2:18" x14ac:dyDescent="0.15">
      <c r="C100">
        <v>100</v>
      </c>
      <c r="D100" s="28">
        <v>2.0094810081816412</v>
      </c>
      <c r="E100">
        <v>0.26713501369789378</v>
      </c>
      <c r="P100" t="s">
        <v>64</v>
      </c>
      <c r="Q100">
        <v>2.0094810081816412</v>
      </c>
      <c r="R100">
        <v>0.26713501369789378</v>
      </c>
    </row>
    <row r="101" spans="2:18" x14ac:dyDescent="0.15">
      <c r="C101" t="s">
        <v>68</v>
      </c>
      <c r="D101">
        <v>1.6126694243446538</v>
      </c>
      <c r="E101">
        <v>7.7389301633454047E-2</v>
      </c>
      <c r="P101" t="s">
        <v>65</v>
      </c>
      <c r="Q101">
        <v>1.491196490517005</v>
      </c>
      <c r="R101">
        <v>9.8441677110359047E-2</v>
      </c>
    </row>
    <row r="102" spans="2:18" x14ac:dyDescent="0.15">
      <c r="C102" t="s">
        <v>39</v>
      </c>
      <c r="D102">
        <v>3.0048318968771484</v>
      </c>
      <c r="E102">
        <v>0.38406800069843733</v>
      </c>
    </row>
    <row r="105" spans="2:18" x14ac:dyDescent="0.15">
      <c r="N105">
        <v>1.4225922967801923</v>
      </c>
      <c r="O105">
        <v>1.9354011944639813</v>
      </c>
      <c r="P105">
        <v>1.4783577908376744</v>
      </c>
      <c r="Q105">
        <v>3.5634007653152451</v>
      </c>
    </row>
    <row r="106" spans="2:18" x14ac:dyDescent="0.15">
      <c r="N106">
        <v>1.1978137256070667</v>
      </c>
      <c r="O106">
        <v>2.1583201211153096</v>
      </c>
      <c r="P106">
        <v>1.6162814262042986</v>
      </c>
      <c r="Q106">
        <v>3.1679163636797121</v>
      </c>
    </row>
    <row r="107" spans="2:18" x14ac:dyDescent="0.15">
      <c r="B107">
        <v>0</v>
      </c>
      <c r="C107">
        <v>1.3142044257950178</v>
      </c>
      <c r="D107">
        <v>8.7205855974494831E-2</v>
      </c>
      <c r="N107">
        <v>1.3307306257226983</v>
      </c>
      <c r="O107">
        <v>1.9164232837030766</v>
      </c>
      <c r="P107">
        <v>1.6370712982941336</v>
      </c>
      <c r="Q107">
        <v>2.8039505525289967</v>
      </c>
    </row>
    <row r="108" spans="2:18" x14ac:dyDescent="0.15">
      <c r="B108">
        <v>100</v>
      </c>
      <c r="C108">
        <v>2.0094810081816412</v>
      </c>
      <c r="D108">
        <v>0.26713501369789378</v>
      </c>
      <c r="N108">
        <v>1.2204394006222656</v>
      </c>
      <c r="O108">
        <v>2.0875344213048503</v>
      </c>
      <c r="P108">
        <v>1.6005459725583222</v>
      </c>
      <c r="Q108">
        <v>3.2311204358243826</v>
      </c>
    </row>
    <row r="109" spans="2:18" x14ac:dyDescent="0.15">
      <c r="N109">
        <v>1.3607948788250861</v>
      </c>
      <c r="O109">
        <v>2.3749687079046811</v>
      </c>
      <c r="P109">
        <v>1.7173697950814784</v>
      </c>
      <c r="Q109">
        <v>2.5122724617640397</v>
      </c>
    </row>
    <row r="110" spans="2:18" x14ac:dyDescent="0.15">
      <c r="N110">
        <v>1.3528556272127981</v>
      </c>
      <c r="O110">
        <v>1.5842383205979471</v>
      </c>
      <c r="P110">
        <v>1.6263902630920162</v>
      </c>
      <c r="Q110">
        <v>2.7503308021505122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Schenck, Craig</cp:lastModifiedBy>
  <dcterms:created xsi:type="dcterms:W3CDTF">2011-01-18T20:51:17Z</dcterms:created>
  <dcterms:modified xsi:type="dcterms:W3CDTF">2026-09-21T15:03:42Z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