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ilmissouri-my.sharepoint.com/personal/ankm6n_umsystem_edu/Documents/Craig Schenck lab/"/>
    </mc:Choice>
  </mc:AlternateContent>
  <xr:revisionPtr revIDLastSave="1" documentId="13_ncr:1_{C7A0926A-56AA-4D9D-B1B2-64F6DEBFA96E}" xr6:coauthVersionLast="47" xr6:coauthVersionMax="47" xr10:uidLastSave="{4A3D5C03-F549-4780-8EB2-0C83F09F2788}"/>
  <bookViews>
    <workbookView xWindow="-110" yWindow="-110" windowWidth="22620" windowHeight="13500" xr2:uid="{F17C373C-CB42-442B-A1E9-957EC86B7E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2" i="1" l="1"/>
  <c r="L48" i="1"/>
  <c r="L33" i="1"/>
  <c r="L19" i="1"/>
  <c r="I6" i="1"/>
  <c r="I7" i="1"/>
  <c r="I8" i="1"/>
  <c r="I9" i="1"/>
  <c r="I10" i="1"/>
  <c r="I11" i="1"/>
  <c r="I12" i="1"/>
  <c r="I13" i="1"/>
  <c r="I14" i="1"/>
  <c r="I15" i="1"/>
  <c r="I16" i="1"/>
  <c r="I19" i="1"/>
  <c r="I20" i="1"/>
  <c r="I21" i="1"/>
  <c r="I22" i="1"/>
  <c r="I23" i="1"/>
  <c r="I24" i="1"/>
  <c r="I25" i="1"/>
  <c r="I26" i="1"/>
  <c r="I27" i="1"/>
  <c r="I28" i="1"/>
  <c r="I29" i="1"/>
  <c r="I30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8" i="1"/>
  <c r="I49" i="1"/>
  <c r="I50" i="1"/>
  <c r="I51" i="1"/>
  <c r="I52" i="1"/>
  <c r="I53" i="1"/>
  <c r="I54" i="1"/>
  <c r="I55" i="1"/>
  <c r="I56" i="1"/>
  <c r="I57" i="1"/>
  <c r="I58" i="1"/>
  <c r="I59" i="1"/>
  <c r="I62" i="1"/>
  <c r="I63" i="1"/>
  <c r="I64" i="1"/>
  <c r="I65" i="1"/>
  <c r="I66" i="1"/>
  <c r="I67" i="1"/>
  <c r="I68" i="1"/>
  <c r="I69" i="1"/>
  <c r="I70" i="1"/>
  <c r="I71" i="1"/>
  <c r="I72" i="1"/>
  <c r="I73" i="1"/>
  <c r="I5" i="1"/>
  <c r="G62" i="1"/>
  <c r="D62" i="1"/>
  <c r="G48" i="1"/>
  <c r="D48" i="1"/>
  <c r="G33" i="1"/>
  <c r="D33" i="1"/>
  <c r="G19" i="1"/>
  <c r="D19" i="1"/>
  <c r="G5" i="1"/>
  <c r="D5" i="1"/>
  <c r="F62" i="1"/>
  <c r="C62" i="1"/>
  <c r="F48" i="1"/>
  <c r="C48" i="1"/>
  <c r="F33" i="1"/>
  <c r="C33" i="1"/>
  <c r="F19" i="1"/>
  <c r="C19" i="1"/>
  <c r="F5" i="1"/>
  <c r="C5" i="1"/>
  <c r="K19" i="1" l="1"/>
  <c r="K33" i="1"/>
  <c r="K5" i="1"/>
  <c r="K62" i="1"/>
  <c r="K48" i="1"/>
  <c r="J5" i="1"/>
  <c r="J19" i="1"/>
  <c r="J33" i="1"/>
  <c r="J48" i="1"/>
  <c r="J62" i="1"/>
</calcChain>
</file>

<file path=xl/sharedStrings.xml><?xml version="1.0" encoding="utf-8"?>
<sst xmlns="http://schemas.openxmlformats.org/spreadsheetml/2006/main" count="24" uniqueCount="18">
  <si>
    <t>0uM</t>
  </si>
  <si>
    <t>10uM</t>
  </si>
  <si>
    <t>longest root</t>
  </si>
  <si>
    <t>total roots</t>
  </si>
  <si>
    <t>20uM</t>
  </si>
  <si>
    <t>50uM</t>
  </si>
  <si>
    <t>100uM</t>
  </si>
  <si>
    <t>Ave</t>
  </si>
  <si>
    <t>Std</t>
  </si>
  <si>
    <t>ratio</t>
  </si>
  <si>
    <t xml:space="preserve">Col-0  </t>
  </si>
  <si>
    <t>7 days old seedlings</t>
  </si>
  <si>
    <t>longest root length</t>
  </si>
  <si>
    <t>total root length</t>
  </si>
  <si>
    <t>ratio (longest:total)</t>
  </si>
  <si>
    <t>ttest</t>
  </si>
  <si>
    <t>ttest compared to Col-0</t>
  </si>
  <si>
    <r>
      <t>Aze concentration (</t>
    </r>
    <r>
      <rPr>
        <sz val="11"/>
        <color theme="1"/>
        <rFont val="Aptos"/>
        <family val="2"/>
      </rPr>
      <t>µ</t>
    </r>
    <r>
      <rPr>
        <sz val="11"/>
        <color theme="1"/>
        <rFont val="Aptos Narrow"/>
        <family val="2"/>
        <scheme val="minor"/>
      </rPr>
      <t>M)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</si>
</sst>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Sheet1!$N$4</c:f>
              <c:strCache>
                <c:ptCount val="1"/>
                <c:pt idx="0">
                  <c:v>longest root length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Sheet1!$O$5:$O$9</c:f>
                <c:numCache>
                  <c:formatCode>General</c:formatCode>
                  <c:ptCount val="5"/>
                  <c:pt idx="0">
                    <c:v>5.1677891850002684</c:v>
                  </c:pt>
                  <c:pt idx="1">
                    <c:v>2.6522947682862865</c:v>
                  </c:pt>
                  <c:pt idx="2">
                    <c:v>3.479375386031677</c:v>
                  </c:pt>
                  <c:pt idx="3">
                    <c:v>1.5976354189295443</c:v>
                  </c:pt>
                  <c:pt idx="4">
                    <c:v>0.59115423819281931</c:v>
                  </c:pt>
                </c:numCache>
              </c:numRef>
            </c:plus>
            <c:minus>
              <c:numRef>
                <c:f>Sheet1!$O$5:$O$9</c:f>
                <c:numCache>
                  <c:formatCode>General</c:formatCode>
                  <c:ptCount val="5"/>
                  <c:pt idx="0">
                    <c:v>5.1677891850002684</c:v>
                  </c:pt>
                  <c:pt idx="1">
                    <c:v>2.6522947682862865</c:v>
                  </c:pt>
                  <c:pt idx="2">
                    <c:v>3.479375386031677</c:v>
                  </c:pt>
                  <c:pt idx="3">
                    <c:v>1.5976354189295443</c:v>
                  </c:pt>
                  <c:pt idx="4">
                    <c:v>0.59115423819281931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Sheet1!$M$5:$M$9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50</c:v>
                </c:pt>
                <c:pt idx="4">
                  <c:v>100</c:v>
                </c:pt>
              </c:numCache>
            </c:numRef>
          </c:cat>
          <c:val>
            <c:numRef>
              <c:f>Sheet1!$N$5:$N$9</c:f>
              <c:numCache>
                <c:formatCode>General</c:formatCode>
                <c:ptCount val="5"/>
                <c:pt idx="0">
                  <c:v>37.00416666666667</c:v>
                </c:pt>
                <c:pt idx="1">
                  <c:v>6.911083333333333</c:v>
                </c:pt>
                <c:pt idx="2">
                  <c:v>5.3060769230769234</c:v>
                </c:pt>
                <c:pt idx="3">
                  <c:v>2.8152500000000003</c:v>
                </c:pt>
                <c:pt idx="4">
                  <c:v>1.1756666666666669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0C-4759-9D15-5F39E432F5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4528432"/>
        <c:axId val="644530352"/>
      </c:barChart>
      <c:catAx>
        <c:axId val="644528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4530352"/>
        <c:crosses val="autoZero"/>
        <c:auto val="1"/>
        <c:lblAlgn val="ctr"/>
        <c:lblOffset val="100"/>
        <c:noMultiLvlLbl val="0"/>
      </c:catAx>
      <c:valAx>
        <c:axId val="644530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4528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Sheet1!$N$27</c:f>
              <c:strCache>
                <c:ptCount val="1"/>
                <c:pt idx="0">
                  <c:v>total root length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Sheet1!$O$28:$O$32</c:f>
                <c:numCache>
                  <c:formatCode>General</c:formatCode>
                  <c:ptCount val="5"/>
                  <c:pt idx="0">
                    <c:v>5.719858207079235</c:v>
                  </c:pt>
                  <c:pt idx="1">
                    <c:v>6.8291838191956504</c:v>
                  </c:pt>
                  <c:pt idx="2">
                    <c:v>3.3953647192787813</c:v>
                  </c:pt>
                  <c:pt idx="3">
                    <c:v>2.1991116732706302</c:v>
                  </c:pt>
                  <c:pt idx="4">
                    <c:v>1.0175590221880813</c:v>
                  </c:pt>
                </c:numCache>
              </c:numRef>
            </c:plus>
            <c:minus>
              <c:numRef>
                <c:f>Sheet1!$O$28:$O$32</c:f>
                <c:numCache>
                  <c:formatCode>General</c:formatCode>
                  <c:ptCount val="5"/>
                  <c:pt idx="0">
                    <c:v>5.719858207079235</c:v>
                  </c:pt>
                  <c:pt idx="1">
                    <c:v>6.8291838191956504</c:v>
                  </c:pt>
                  <c:pt idx="2">
                    <c:v>3.3953647192787813</c:v>
                  </c:pt>
                  <c:pt idx="3">
                    <c:v>2.1991116732706302</c:v>
                  </c:pt>
                  <c:pt idx="4">
                    <c:v>1.0175590221880813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Sheet1!$M$28:$M$32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50</c:v>
                </c:pt>
                <c:pt idx="4">
                  <c:v>100</c:v>
                </c:pt>
              </c:numCache>
            </c:numRef>
          </c:cat>
          <c:val>
            <c:numRef>
              <c:f>Sheet1!$N$28:$N$32</c:f>
              <c:numCache>
                <c:formatCode>General</c:formatCode>
                <c:ptCount val="5"/>
                <c:pt idx="0">
                  <c:v>38.218499999999999</c:v>
                </c:pt>
                <c:pt idx="1">
                  <c:v>14.676</c:v>
                </c:pt>
                <c:pt idx="2">
                  <c:v>7.5330769230769228</c:v>
                </c:pt>
                <c:pt idx="3">
                  <c:v>4.0311666666666666</c:v>
                </c:pt>
                <c:pt idx="4">
                  <c:v>1.423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BD-4F8A-B5F8-AAA593AEA7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5677216"/>
        <c:axId val="915692096"/>
      </c:barChart>
      <c:catAx>
        <c:axId val="915677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5692096"/>
        <c:crosses val="autoZero"/>
        <c:auto val="1"/>
        <c:lblAlgn val="ctr"/>
        <c:lblOffset val="100"/>
        <c:noMultiLvlLbl val="0"/>
      </c:catAx>
      <c:valAx>
        <c:axId val="915692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5677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Sheet1!$N$50</c:f>
              <c:strCache>
                <c:ptCount val="1"/>
                <c:pt idx="0">
                  <c:v>ratio (longest:total)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Sheet1!$O$51:$O$55</c:f>
                <c:numCache>
                  <c:formatCode>General</c:formatCode>
                  <c:ptCount val="5"/>
                  <c:pt idx="0">
                    <c:v>3.4867148563564231E-2</c:v>
                  </c:pt>
                  <c:pt idx="1">
                    <c:v>0.23808816194994911</c:v>
                  </c:pt>
                  <c:pt idx="2">
                    <c:v>0.17862817981282639</c:v>
                  </c:pt>
                  <c:pt idx="3">
                    <c:v>0.17128331054730445</c:v>
                  </c:pt>
                  <c:pt idx="4">
                    <c:v>0.16658500996408712</c:v>
                  </c:pt>
                </c:numCache>
              </c:numRef>
            </c:plus>
            <c:minus>
              <c:numRef>
                <c:f>Sheet1!$O$51:$O$55</c:f>
                <c:numCache>
                  <c:formatCode>General</c:formatCode>
                  <c:ptCount val="5"/>
                  <c:pt idx="0">
                    <c:v>3.4867148563564231E-2</c:v>
                  </c:pt>
                  <c:pt idx="1">
                    <c:v>0.23808816194994911</c:v>
                  </c:pt>
                  <c:pt idx="2">
                    <c:v>0.17862817981282639</c:v>
                  </c:pt>
                  <c:pt idx="3">
                    <c:v>0.17128331054730445</c:v>
                  </c:pt>
                  <c:pt idx="4">
                    <c:v>0.16658500996408712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Sheet1!$M$51:$M$55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50</c:v>
                </c:pt>
                <c:pt idx="4">
                  <c:v>100</c:v>
                </c:pt>
              </c:numCache>
            </c:numRef>
          </c:cat>
          <c:val>
            <c:numRef>
              <c:f>Sheet1!$N$51:$N$55</c:f>
              <c:numCache>
                <c:formatCode>General</c:formatCode>
                <c:ptCount val="5"/>
                <c:pt idx="0">
                  <c:v>0.96978753477056168</c:v>
                </c:pt>
                <c:pt idx="1">
                  <c:v>0.54975484820535747</c:v>
                </c:pt>
                <c:pt idx="2">
                  <c:v>0.65118327953150823</c:v>
                </c:pt>
                <c:pt idx="3">
                  <c:v>0.73251955850093797</c:v>
                </c:pt>
                <c:pt idx="4">
                  <c:v>0.90836213187145853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7A-4920-A182-3233BAE499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5706976"/>
        <c:axId val="915697856"/>
      </c:barChart>
      <c:catAx>
        <c:axId val="915706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5697856"/>
        <c:crosses val="autoZero"/>
        <c:auto val="1"/>
        <c:lblAlgn val="ctr"/>
        <c:lblOffset val="100"/>
        <c:noMultiLvlLbl val="0"/>
      </c:catAx>
      <c:valAx>
        <c:axId val="915697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5706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161154</xdr:colOff>
      <xdr:row>9</xdr:row>
      <xdr:rowOff>153747</xdr:rowOff>
    </xdr:from>
    <xdr:to>
      <xdr:col>19</xdr:col>
      <xdr:colOff>531379</xdr:colOff>
      <xdr:row>24</xdr:row>
      <xdr:rowOff>134697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CAAF50-9499-479C-0A9A-C50076A945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151149</xdr:colOff>
      <xdr:row>32</xdr:row>
      <xdr:rowOff>131425</xdr:rowOff>
    </xdr:from>
    <xdr:to>
      <xdr:col>19</xdr:col>
      <xdr:colOff>521374</xdr:colOff>
      <xdr:row>47</xdr:row>
      <xdr:rowOff>113722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F9E1DB4-FB06-0D17-EE34-C444F478A5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384175</xdr:colOff>
      <xdr:row>48</xdr:row>
      <xdr:rowOff>12700</xdr:rowOff>
    </xdr:from>
    <xdr:to>
      <xdr:col>23</xdr:col>
      <xdr:colOff>79375</xdr:colOff>
      <xdr:row>62</xdr:row>
      <xdr:rowOff>177800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829D9C9-BA22-A847-773C-F2687CA36C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63156-0FE1-4754-8C9C-AA75A5A2A1C7}">
  <dimension ref="A2:V73"/>
  <sheetViews>
    <sheetView tabSelected="1" topLeftCell="A34" zoomScale="66" workbookViewId="0">
      <selection activeCell="U15" sqref="U15"/>
    </sheetView>
  </sheetViews>
  <sheetFormatPr defaultRowHeight="14.5" x14ac:dyDescent="0.35"/>
  <cols>
    <col min="2" max="2" width="11.81640625" customWidth="1"/>
    <col min="3" max="4" width="10.453125" customWidth="1"/>
    <col min="12" max="12" width="11.81640625" bestFit="1" customWidth="1"/>
    <col min="14" max="14" width="10.90625" customWidth="1"/>
  </cols>
  <sheetData>
    <row r="2" spans="1:22" x14ac:dyDescent="0.35">
      <c r="A2" s="5" t="s">
        <v>10</v>
      </c>
      <c r="B2" s="5" t="s">
        <v>11</v>
      </c>
      <c r="C2" s="5"/>
    </row>
    <row r="4" spans="1:22" x14ac:dyDescent="0.35">
      <c r="A4" s="4" t="s">
        <v>0</v>
      </c>
      <c r="B4" s="1" t="s">
        <v>2</v>
      </c>
      <c r="C4" t="s">
        <v>7</v>
      </c>
      <c r="D4" t="s">
        <v>8</v>
      </c>
      <c r="E4" s="2" t="s">
        <v>3</v>
      </c>
      <c r="F4" t="s">
        <v>7</v>
      </c>
      <c r="G4" t="s">
        <v>8</v>
      </c>
      <c r="I4" s="3" t="s">
        <v>9</v>
      </c>
      <c r="J4" t="s">
        <v>7</v>
      </c>
      <c r="K4" t="s">
        <v>8</v>
      </c>
      <c r="L4" s="6" t="s">
        <v>15</v>
      </c>
      <c r="M4" s="5" t="s">
        <v>17</v>
      </c>
      <c r="N4" s="1" t="s">
        <v>12</v>
      </c>
      <c r="P4" s="2" t="s">
        <v>3</v>
      </c>
      <c r="R4" s="3" t="s">
        <v>9</v>
      </c>
      <c r="T4" s="6" t="s">
        <v>16</v>
      </c>
      <c r="U4" s="6"/>
      <c r="V4" s="6"/>
    </row>
    <row r="5" spans="1:22" x14ac:dyDescent="0.35">
      <c r="A5">
        <v>1</v>
      </c>
      <c r="B5">
        <v>41.98</v>
      </c>
      <c r="C5">
        <f>AVERAGE(B5:B16)</f>
        <v>37.00416666666667</v>
      </c>
      <c r="D5">
        <f>STDEVA(B5:B16)</f>
        <v>5.1677891850002684</v>
      </c>
      <c r="E5">
        <v>43.558999999999997</v>
      </c>
      <c r="F5">
        <f>AVERAGE(E5:E16)</f>
        <v>38.218499999999999</v>
      </c>
      <c r="G5">
        <f>STDEVA(E5:E16)</f>
        <v>5.719858207079235</v>
      </c>
      <c r="I5">
        <f>B5/E5</f>
        <v>0.96375031566381231</v>
      </c>
      <c r="J5">
        <f>AVERAGE(I5:I16)</f>
        <v>0.96978753477056168</v>
      </c>
      <c r="K5">
        <f>STDEVA(I5:I16)</f>
        <v>3.4867148563564231E-2</v>
      </c>
      <c r="M5" s="5">
        <v>0</v>
      </c>
      <c r="N5">
        <v>37.00416666666667</v>
      </c>
      <c r="O5">
        <v>5.1677891850002684</v>
      </c>
      <c r="P5">
        <v>38.218499999999999</v>
      </c>
      <c r="Q5">
        <v>5.719858207079235</v>
      </c>
      <c r="R5">
        <v>0.96978753477056168</v>
      </c>
      <c r="S5">
        <v>3.4867148563564231E-2</v>
      </c>
    </row>
    <row r="6" spans="1:22" x14ac:dyDescent="0.35">
      <c r="A6">
        <v>2</v>
      </c>
      <c r="B6">
        <v>31.195</v>
      </c>
      <c r="E6">
        <v>34.579000000000001</v>
      </c>
      <c r="I6">
        <f t="shared" ref="I6:I69" si="0">B6/E6</f>
        <v>0.90213713525550188</v>
      </c>
      <c r="M6" s="5">
        <v>10</v>
      </c>
      <c r="N6">
        <v>6.911083333333333</v>
      </c>
      <c r="O6">
        <v>2.6522947682862865</v>
      </c>
      <c r="P6">
        <v>14.676</v>
      </c>
      <c r="Q6">
        <v>6.8291838191956504</v>
      </c>
      <c r="R6">
        <v>0.54975484820535747</v>
      </c>
      <c r="S6">
        <v>0.23808816194994911</v>
      </c>
      <c r="T6">
        <v>4.3697101824500131E-6</v>
      </c>
    </row>
    <row r="7" spans="1:22" x14ac:dyDescent="0.35">
      <c r="A7">
        <v>3</v>
      </c>
      <c r="B7">
        <v>32.314</v>
      </c>
      <c r="E7">
        <v>33.223999999999997</v>
      </c>
      <c r="I7">
        <f t="shared" si="0"/>
        <v>0.97261016132915978</v>
      </c>
      <c r="M7" s="5">
        <v>20</v>
      </c>
      <c r="N7">
        <v>5.3060769230769234</v>
      </c>
      <c r="O7">
        <v>3.479375386031677</v>
      </c>
      <c r="P7">
        <v>7.5330769230769228</v>
      </c>
      <c r="Q7">
        <v>3.3953647192787813</v>
      </c>
      <c r="R7">
        <v>0.65118327953150823</v>
      </c>
      <c r="S7">
        <v>0.17862817981282639</v>
      </c>
      <c r="T7">
        <v>3.4862309621138243E-6</v>
      </c>
    </row>
    <row r="8" spans="1:22" x14ac:dyDescent="0.35">
      <c r="A8">
        <v>4</v>
      </c>
      <c r="B8">
        <v>45.962000000000003</v>
      </c>
      <c r="E8">
        <v>47.613999999999997</v>
      </c>
      <c r="I8">
        <f t="shared" si="0"/>
        <v>0.96530432225815954</v>
      </c>
      <c r="M8" s="5">
        <v>50</v>
      </c>
      <c r="N8">
        <v>2.8152500000000003</v>
      </c>
      <c r="O8">
        <v>1.5976354189295443</v>
      </c>
      <c r="P8">
        <v>4.0311666666666666</v>
      </c>
      <c r="Q8">
        <v>2.1991116732706302</v>
      </c>
      <c r="R8">
        <v>0.73251955850093797</v>
      </c>
      <c r="S8">
        <v>0.17128331054730445</v>
      </c>
      <c r="T8">
        <v>1.0862274718331476E-4</v>
      </c>
    </row>
    <row r="9" spans="1:22" x14ac:dyDescent="0.35">
      <c r="A9">
        <v>5</v>
      </c>
      <c r="B9">
        <v>45.956000000000003</v>
      </c>
      <c r="E9">
        <v>49.724000000000004</v>
      </c>
      <c r="I9">
        <f t="shared" si="0"/>
        <v>0.92422170380500357</v>
      </c>
      <c r="M9" s="5">
        <v>100</v>
      </c>
      <c r="N9">
        <v>1.1756666666666669</v>
      </c>
      <c r="O9">
        <v>0.59115423819281931</v>
      </c>
      <c r="P9">
        <v>1.423</v>
      </c>
      <c r="Q9">
        <v>1.0175590221880813</v>
      </c>
      <c r="R9">
        <v>0.90836213187145853</v>
      </c>
      <c r="S9">
        <v>0.16658500996408712</v>
      </c>
      <c r="T9">
        <v>0.22434867986455459</v>
      </c>
    </row>
    <row r="10" spans="1:22" x14ac:dyDescent="0.35">
      <c r="A10">
        <v>6</v>
      </c>
      <c r="B10">
        <v>40.198</v>
      </c>
      <c r="E10">
        <v>40.198</v>
      </c>
      <c r="I10">
        <f t="shared" si="0"/>
        <v>1</v>
      </c>
    </row>
    <row r="11" spans="1:22" x14ac:dyDescent="0.35">
      <c r="A11">
        <v>7</v>
      </c>
      <c r="B11">
        <v>34.44</v>
      </c>
      <c r="E11">
        <v>34.44</v>
      </c>
      <c r="I11">
        <f t="shared" si="0"/>
        <v>1</v>
      </c>
    </row>
    <row r="12" spans="1:22" x14ac:dyDescent="0.35">
      <c r="A12">
        <v>8</v>
      </c>
      <c r="B12">
        <v>33.744</v>
      </c>
      <c r="E12">
        <v>36.475999999999999</v>
      </c>
      <c r="I12">
        <f t="shared" si="0"/>
        <v>0.92510143656102639</v>
      </c>
    </row>
    <row r="13" spans="1:22" x14ac:dyDescent="0.35">
      <c r="A13">
        <v>9</v>
      </c>
      <c r="B13">
        <v>34.954999999999998</v>
      </c>
      <c r="E13">
        <v>35.293999999999997</v>
      </c>
      <c r="I13">
        <f t="shared" si="0"/>
        <v>0.99039496798322668</v>
      </c>
    </row>
    <row r="14" spans="1:22" x14ac:dyDescent="0.35">
      <c r="A14">
        <v>10</v>
      </c>
      <c r="B14">
        <v>35.420999999999999</v>
      </c>
      <c r="E14">
        <v>35.420999999999999</v>
      </c>
      <c r="I14">
        <f t="shared" si="0"/>
        <v>1</v>
      </c>
    </row>
    <row r="15" spans="1:22" x14ac:dyDescent="0.35">
      <c r="A15">
        <v>11</v>
      </c>
      <c r="B15">
        <v>34.061</v>
      </c>
      <c r="E15">
        <v>34.268999999999998</v>
      </c>
      <c r="I15">
        <f t="shared" si="0"/>
        <v>0.99393037439084897</v>
      </c>
    </row>
    <row r="16" spans="1:22" x14ac:dyDescent="0.35">
      <c r="A16">
        <v>12</v>
      </c>
      <c r="B16">
        <v>33.823999999999998</v>
      </c>
      <c r="E16">
        <v>33.823999999999998</v>
      </c>
      <c r="I16">
        <f t="shared" si="0"/>
        <v>1</v>
      </c>
    </row>
    <row r="18" spans="1:15" x14ac:dyDescent="0.35">
      <c r="A18" s="4" t="s">
        <v>1</v>
      </c>
    </row>
    <row r="19" spans="1:15" x14ac:dyDescent="0.35">
      <c r="A19">
        <v>1</v>
      </c>
      <c r="B19">
        <v>8.7370000000000001</v>
      </c>
      <c r="C19">
        <f>AVERAGE(B19:B30)</f>
        <v>6.911083333333333</v>
      </c>
      <c r="D19">
        <f>STDEVA(B19:B30)</f>
        <v>2.6522947682862865</v>
      </c>
      <c r="E19">
        <v>22.801999999999996</v>
      </c>
      <c r="F19">
        <f>AVERAGE(E19:E30)</f>
        <v>14.676</v>
      </c>
      <c r="G19">
        <f>STDEVA(E19:E30)</f>
        <v>6.8291838191956504</v>
      </c>
      <c r="I19">
        <f t="shared" si="0"/>
        <v>0.3831681431453382</v>
      </c>
      <c r="J19">
        <f>AVERAGE(I19:I30)</f>
        <v>0.54975484820535747</v>
      </c>
      <c r="K19">
        <f>STDEVA(I19:I30)</f>
        <v>0.23808816194994911</v>
      </c>
      <c r="L19">
        <f>_xlfn.T.TEST(I5:I16,I19:I30,2,2)</f>
        <v>4.3697101824500131E-6</v>
      </c>
    </row>
    <row r="20" spans="1:15" x14ac:dyDescent="0.35">
      <c r="A20">
        <v>2</v>
      </c>
      <c r="B20">
        <v>5.2880000000000003</v>
      </c>
      <c r="E20">
        <v>14.846</v>
      </c>
      <c r="I20">
        <f t="shared" si="0"/>
        <v>0.35619021958776775</v>
      </c>
    </row>
    <row r="21" spans="1:15" x14ac:dyDescent="0.35">
      <c r="A21">
        <v>3</v>
      </c>
      <c r="B21">
        <v>10.747</v>
      </c>
      <c r="E21">
        <v>25.234000000000002</v>
      </c>
      <c r="I21">
        <f t="shared" si="0"/>
        <v>0.42589363557105492</v>
      </c>
    </row>
    <row r="22" spans="1:15" x14ac:dyDescent="0.35">
      <c r="A22">
        <v>4</v>
      </c>
      <c r="B22">
        <v>8.3960000000000008</v>
      </c>
      <c r="E22">
        <v>18.931000000000001</v>
      </c>
      <c r="I22">
        <f t="shared" si="0"/>
        <v>0.44350536157625059</v>
      </c>
    </row>
    <row r="23" spans="1:15" x14ac:dyDescent="0.35">
      <c r="A23">
        <v>5</v>
      </c>
      <c r="B23">
        <v>5.782</v>
      </c>
      <c r="E23">
        <v>16.536000000000001</v>
      </c>
      <c r="I23">
        <f t="shared" si="0"/>
        <v>0.34966134494436379</v>
      </c>
    </row>
    <row r="24" spans="1:15" x14ac:dyDescent="0.35">
      <c r="A24">
        <v>6</v>
      </c>
      <c r="B24">
        <v>11.933999999999999</v>
      </c>
      <c r="E24">
        <v>20.724</v>
      </c>
      <c r="I24">
        <f t="shared" si="0"/>
        <v>0.57585408222350898</v>
      </c>
    </row>
    <row r="25" spans="1:15" x14ac:dyDescent="0.35">
      <c r="A25">
        <v>7</v>
      </c>
      <c r="B25">
        <v>7.9269999999999996</v>
      </c>
      <c r="E25">
        <v>11.371</v>
      </c>
      <c r="I25">
        <f t="shared" si="0"/>
        <v>0.69712426347726664</v>
      </c>
    </row>
    <row r="26" spans="1:15" x14ac:dyDescent="0.35">
      <c r="A26">
        <v>8</v>
      </c>
      <c r="B26">
        <v>4.7969999999999997</v>
      </c>
      <c r="E26">
        <v>15.94</v>
      </c>
      <c r="I26">
        <f t="shared" si="0"/>
        <v>0.30094102885821833</v>
      </c>
    </row>
    <row r="27" spans="1:15" x14ac:dyDescent="0.35">
      <c r="A27">
        <v>9</v>
      </c>
      <c r="B27">
        <v>3.5939999999999999</v>
      </c>
      <c r="E27">
        <v>3.5939999999999999</v>
      </c>
      <c r="I27">
        <f t="shared" si="0"/>
        <v>1</v>
      </c>
      <c r="M27" s="5"/>
      <c r="N27" s="2" t="s">
        <v>13</v>
      </c>
    </row>
    <row r="28" spans="1:15" x14ac:dyDescent="0.35">
      <c r="A28">
        <v>10</v>
      </c>
      <c r="B28">
        <v>6.32</v>
      </c>
      <c r="E28">
        <v>11.327999999999999</v>
      </c>
      <c r="I28">
        <f t="shared" si="0"/>
        <v>0.55790960451977412</v>
      </c>
      <c r="M28" s="5">
        <v>0</v>
      </c>
      <c r="N28">
        <v>38.218499999999999</v>
      </c>
      <c r="O28">
        <v>5.719858207079235</v>
      </c>
    </row>
    <row r="29" spans="1:15" x14ac:dyDescent="0.35">
      <c r="A29">
        <v>11</v>
      </c>
      <c r="B29">
        <v>5.5439999999999996</v>
      </c>
      <c r="E29">
        <v>10.939</v>
      </c>
      <c r="I29">
        <f t="shared" si="0"/>
        <v>0.50681049456074589</v>
      </c>
      <c r="M29" s="5">
        <v>10</v>
      </c>
      <c r="N29">
        <v>14.676</v>
      </c>
      <c r="O29">
        <v>6.8291838191956504</v>
      </c>
    </row>
    <row r="30" spans="1:15" x14ac:dyDescent="0.35">
      <c r="A30">
        <v>12</v>
      </c>
      <c r="B30">
        <v>3.867</v>
      </c>
      <c r="E30">
        <v>3.867</v>
      </c>
      <c r="I30">
        <f t="shared" si="0"/>
        <v>1</v>
      </c>
      <c r="M30" s="5">
        <v>20</v>
      </c>
      <c r="N30">
        <v>7.5330769230769228</v>
      </c>
      <c r="O30">
        <v>3.3953647192787813</v>
      </c>
    </row>
    <row r="31" spans="1:15" x14ac:dyDescent="0.35">
      <c r="M31" s="5">
        <v>50</v>
      </c>
      <c r="N31">
        <v>4.0311666666666666</v>
      </c>
      <c r="O31">
        <v>2.1991116732706302</v>
      </c>
    </row>
    <row r="32" spans="1:15" x14ac:dyDescent="0.35">
      <c r="A32" s="4" t="s">
        <v>4</v>
      </c>
      <c r="M32" s="5">
        <v>100</v>
      </c>
      <c r="N32">
        <v>1.423</v>
      </c>
      <c r="O32">
        <v>1.0175590221880813</v>
      </c>
    </row>
    <row r="33" spans="1:12" x14ac:dyDescent="0.35">
      <c r="A33">
        <v>1</v>
      </c>
      <c r="B33">
        <v>5.625</v>
      </c>
      <c r="C33">
        <f>AVERAGE(B33:B45)</f>
        <v>5.3060769230769234</v>
      </c>
      <c r="D33">
        <f>STDEVA(B33:B45)</f>
        <v>3.479375386031677</v>
      </c>
      <c r="E33">
        <v>8.927999999999999</v>
      </c>
      <c r="F33">
        <f>AVERAGE(E33:E45)</f>
        <v>7.5330769230769228</v>
      </c>
      <c r="G33">
        <f>STDEVA(E33:E45)</f>
        <v>3.3953647192787813</v>
      </c>
      <c r="I33">
        <f t="shared" si="0"/>
        <v>0.63004032258064524</v>
      </c>
      <c r="J33">
        <f>AVERAGE(I33:I45)</f>
        <v>0.65118327953150823</v>
      </c>
      <c r="K33">
        <f>STDEVA(I33:I45)</f>
        <v>0.17862817981282639</v>
      </c>
      <c r="L33">
        <f>_xlfn.T.TEST(I5:I16,I33:I45,2,2)</f>
        <v>3.4862309621138243E-6</v>
      </c>
    </row>
    <row r="34" spans="1:12" x14ac:dyDescent="0.35">
      <c r="A34">
        <v>2</v>
      </c>
      <c r="B34">
        <v>1.2210000000000001</v>
      </c>
      <c r="E34">
        <v>3.1589999999999998</v>
      </c>
      <c r="I34">
        <f t="shared" si="0"/>
        <v>0.38651471984805325</v>
      </c>
    </row>
    <row r="35" spans="1:12" x14ac:dyDescent="0.35">
      <c r="A35">
        <v>3</v>
      </c>
      <c r="B35">
        <v>7.0940000000000003</v>
      </c>
      <c r="E35">
        <v>10.420999999999999</v>
      </c>
      <c r="I35">
        <f t="shared" si="0"/>
        <v>0.68074081182228197</v>
      </c>
    </row>
    <row r="36" spans="1:12" x14ac:dyDescent="0.35">
      <c r="A36">
        <v>4</v>
      </c>
      <c r="B36">
        <v>3.5089999999999999</v>
      </c>
      <c r="E36">
        <v>4.6049999999999995</v>
      </c>
      <c r="I36">
        <f t="shared" si="0"/>
        <v>0.76199782844733988</v>
      </c>
    </row>
    <row r="37" spans="1:12" x14ac:dyDescent="0.35">
      <c r="A37">
        <v>5</v>
      </c>
      <c r="B37">
        <v>9.5779999999999994</v>
      </c>
      <c r="E37">
        <v>11.752000000000001</v>
      </c>
      <c r="I37">
        <f t="shared" si="0"/>
        <v>0.81501021102791005</v>
      </c>
    </row>
    <row r="38" spans="1:12" x14ac:dyDescent="0.35">
      <c r="A38">
        <v>6</v>
      </c>
      <c r="B38">
        <v>11.465</v>
      </c>
      <c r="E38">
        <v>13.501999999999999</v>
      </c>
      <c r="I38">
        <f t="shared" si="0"/>
        <v>0.84913346170937642</v>
      </c>
    </row>
    <row r="39" spans="1:12" x14ac:dyDescent="0.35">
      <c r="A39">
        <v>7</v>
      </c>
      <c r="B39">
        <v>2.5369999999999999</v>
      </c>
      <c r="E39">
        <v>4.6340000000000003</v>
      </c>
      <c r="I39">
        <f t="shared" si="0"/>
        <v>0.54747518342684498</v>
      </c>
    </row>
    <row r="40" spans="1:12" x14ac:dyDescent="0.35">
      <c r="A40">
        <v>8</v>
      </c>
      <c r="B40">
        <v>10.907</v>
      </c>
      <c r="E40">
        <v>10.864999999999998</v>
      </c>
      <c r="I40">
        <f t="shared" si="0"/>
        <v>1.0038656235618961</v>
      </c>
    </row>
    <row r="41" spans="1:12" x14ac:dyDescent="0.35">
      <c r="A41">
        <v>9</v>
      </c>
      <c r="B41">
        <v>5.3460000000000001</v>
      </c>
      <c r="E41">
        <v>8.9459999999999997</v>
      </c>
      <c r="I41">
        <f t="shared" si="0"/>
        <v>0.59758551307847085</v>
      </c>
    </row>
    <row r="42" spans="1:12" x14ac:dyDescent="0.35">
      <c r="A42">
        <v>10</v>
      </c>
      <c r="B42">
        <v>2.9390000000000001</v>
      </c>
      <c r="E42">
        <v>6.4399999999999995</v>
      </c>
      <c r="I42">
        <f t="shared" si="0"/>
        <v>0.45636645962732925</v>
      </c>
    </row>
    <row r="43" spans="1:12" x14ac:dyDescent="0.35">
      <c r="A43">
        <v>11</v>
      </c>
      <c r="B43">
        <v>4.5750000000000002</v>
      </c>
      <c r="E43">
        <v>6.3239999999999998</v>
      </c>
      <c r="I43">
        <f t="shared" si="0"/>
        <v>0.7234345351043644</v>
      </c>
    </row>
    <row r="44" spans="1:12" x14ac:dyDescent="0.35">
      <c r="A44">
        <v>12</v>
      </c>
      <c r="B44">
        <v>1.9670000000000001</v>
      </c>
      <c r="E44">
        <v>4.5209999999999999</v>
      </c>
      <c r="I44">
        <f t="shared" si="0"/>
        <v>0.43508073435080735</v>
      </c>
    </row>
    <row r="45" spans="1:12" x14ac:dyDescent="0.35">
      <c r="A45">
        <v>13</v>
      </c>
      <c r="B45">
        <v>2.2160000000000002</v>
      </c>
      <c r="E45">
        <v>3.8330000000000002</v>
      </c>
      <c r="I45">
        <f t="shared" si="0"/>
        <v>0.57813722932428913</v>
      </c>
    </row>
    <row r="47" spans="1:12" x14ac:dyDescent="0.35">
      <c r="A47" s="4" t="s">
        <v>5</v>
      </c>
    </row>
    <row r="48" spans="1:12" x14ac:dyDescent="0.35">
      <c r="A48">
        <v>1</v>
      </c>
      <c r="B48">
        <v>3.9740000000000002</v>
      </c>
      <c r="C48">
        <f>AVERAGE(B48:B59)</f>
        <v>2.8152500000000003</v>
      </c>
      <c r="D48">
        <f>STDEVA(B48:B59)</f>
        <v>1.5976354189295443</v>
      </c>
      <c r="E48">
        <v>4.218</v>
      </c>
      <c r="F48">
        <f>AVERAGE(E48:E59)</f>
        <v>4.0311666666666666</v>
      </c>
      <c r="G48">
        <f>STDEVA(E48:E59)</f>
        <v>2.1991116732706302</v>
      </c>
      <c r="I48">
        <f t="shared" si="0"/>
        <v>0.94215267899478428</v>
      </c>
      <c r="J48">
        <f>AVERAGE(I48:I59)</f>
        <v>0.73251955850093797</v>
      </c>
      <c r="K48">
        <f>STDEVA(I48:I59)</f>
        <v>0.17128331054730445</v>
      </c>
      <c r="L48">
        <f>_xlfn.T.TEST(I5:I16,I48:I59,2,2)</f>
        <v>1.0862274718331476E-4</v>
      </c>
    </row>
    <row r="49" spans="1:15" x14ac:dyDescent="0.35">
      <c r="A49">
        <v>2</v>
      </c>
      <c r="B49">
        <v>6.149</v>
      </c>
      <c r="E49">
        <v>8.2759999999999998</v>
      </c>
      <c r="I49">
        <f t="shared" si="0"/>
        <v>0.7429917834702755</v>
      </c>
    </row>
    <row r="50" spans="1:15" x14ac:dyDescent="0.35">
      <c r="A50">
        <v>3</v>
      </c>
      <c r="B50">
        <v>4.9550000000000001</v>
      </c>
      <c r="E50">
        <v>7.3680000000000003</v>
      </c>
      <c r="I50">
        <f t="shared" si="0"/>
        <v>0.67250271444082521</v>
      </c>
      <c r="M50" s="5"/>
      <c r="N50" s="3" t="s">
        <v>14</v>
      </c>
    </row>
    <row r="51" spans="1:15" x14ac:dyDescent="0.35">
      <c r="A51">
        <v>4</v>
      </c>
      <c r="B51">
        <v>0.59899999999999998</v>
      </c>
      <c r="E51">
        <v>0.59899999999999998</v>
      </c>
      <c r="I51">
        <f t="shared" si="0"/>
        <v>1</v>
      </c>
      <c r="M51" s="5">
        <v>0</v>
      </c>
      <c r="N51">
        <v>0.96978753477056168</v>
      </c>
      <c r="O51">
        <v>3.4867148563564231E-2</v>
      </c>
    </row>
    <row r="52" spans="1:15" x14ac:dyDescent="0.35">
      <c r="A52">
        <v>5</v>
      </c>
      <c r="B52">
        <v>2.0009999999999999</v>
      </c>
      <c r="E52">
        <v>3.1680000000000001</v>
      </c>
      <c r="I52">
        <f t="shared" si="0"/>
        <v>0.63162878787878785</v>
      </c>
      <c r="M52" s="5">
        <v>10</v>
      </c>
      <c r="N52">
        <v>0.54975484820535747</v>
      </c>
      <c r="O52">
        <v>0.23808816194994911</v>
      </c>
    </row>
    <row r="53" spans="1:15" x14ac:dyDescent="0.35">
      <c r="A53">
        <v>6</v>
      </c>
      <c r="B53">
        <v>1.998</v>
      </c>
      <c r="E53">
        <v>3.1710000000000003</v>
      </c>
      <c r="I53">
        <f t="shared" si="0"/>
        <v>0.630085146641438</v>
      </c>
      <c r="M53" s="5">
        <v>20</v>
      </c>
      <c r="N53">
        <v>0.65118327953150823</v>
      </c>
      <c r="O53">
        <v>0.17862817981282639</v>
      </c>
    </row>
    <row r="54" spans="1:15" x14ac:dyDescent="0.35">
      <c r="A54">
        <v>7</v>
      </c>
      <c r="B54">
        <v>2.0779999999999998</v>
      </c>
      <c r="E54">
        <v>4.8109999999999999</v>
      </c>
      <c r="I54">
        <f t="shared" si="0"/>
        <v>0.43192683433797546</v>
      </c>
      <c r="M54" s="5">
        <v>50</v>
      </c>
      <c r="N54">
        <v>0.73251955850093797</v>
      </c>
      <c r="O54">
        <v>0.17128331054730445</v>
      </c>
    </row>
    <row r="55" spans="1:15" x14ac:dyDescent="0.35">
      <c r="A55">
        <v>8</v>
      </c>
      <c r="B55">
        <v>3.444</v>
      </c>
      <c r="E55">
        <v>4.9930000000000003</v>
      </c>
      <c r="I55">
        <f t="shared" si="0"/>
        <v>0.68976567194071692</v>
      </c>
      <c r="M55" s="5">
        <v>100</v>
      </c>
      <c r="N55">
        <v>0.90836213187145853</v>
      </c>
      <c r="O55">
        <v>0.16658500996408712</v>
      </c>
    </row>
    <row r="56" spans="1:15" x14ac:dyDescent="0.35">
      <c r="A56">
        <v>9</v>
      </c>
      <c r="B56">
        <v>1.361</v>
      </c>
      <c r="E56">
        <v>1.361</v>
      </c>
      <c r="I56">
        <f t="shared" si="0"/>
        <v>1</v>
      </c>
    </row>
    <row r="57" spans="1:15" x14ac:dyDescent="0.35">
      <c r="A57">
        <v>10</v>
      </c>
      <c r="B57">
        <v>2.2879999999999998</v>
      </c>
      <c r="E57">
        <v>3.4390000000000001</v>
      </c>
      <c r="I57">
        <f t="shared" si="0"/>
        <v>0.66530968304739746</v>
      </c>
    </row>
    <row r="58" spans="1:15" x14ac:dyDescent="0.35">
      <c r="A58">
        <v>11</v>
      </c>
      <c r="B58">
        <v>3.2509999999999999</v>
      </c>
      <c r="E58">
        <v>4.2379999999999995</v>
      </c>
      <c r="I58">
        <f t="shared" si="0"/>
        <v>0.7671071260028316</v>
      </c>
    </row>
    <row r="59" spans="1:15" x14ac:dyDescent="0.35">
      <c r="A59">
        <v>12</v>
      </c>
      <c r="B59">
        <v>1.6850000000000001</v>
      </c>
      <c r="E59">
        <v>2.7320000000000002</v>
      </c>
      <c r="I59">
        <f t="shared" si="0"/>
        <v>0.61676427525622257</v>
      </c>
    </row>
    <row r="61" spans="1:15" x14ac:dyDescent="0.35">
      <c r="A61" s="4" t="s">
        <v>6</v>
      </c>
    </row>
    <row r="62" spans="1:15" x14ac:dyDescent="0.35">
      <c r="A62">
        <v>1</v>
      </c>
      <c r="B62">
        <v>1.284</v>
      </c>
      <c r="C62">
        <f>AVERAGE(B62:B73)</f>
        <v>1.1756666666666669</v>
      </c>
      <c r="D62">
        <f>STDEVA(B62:B73)</f>
        <v>0.59115423819281931</v>
      </c>
      <c r="E62">
        <v>2.1760000000000002</v>
      </c>
      <c r="F62">
        <f>AVERAGE(E62:E73)</f>
        <v>1.423</v>
      </c>
      <c r="G62">
        <f>STDEVA(E62:E73)</f>
        <v>1.0175590221880813</v>
      </c>
      <c r="I62">
        <f t="shared" si="0"/>
        <v>0.59007352941176472</v>
      </c>
      <c r="J62">
        <f>AVERAGE(I62:I73)</f>
        <v>0.90836213187145853</v>
      </c>
      <c r="K62">
        <f>STDEVA(I62:I73)</f>
        <v>0.16658500996408712</v>
      </c>
      <c r="L62">
        <f>_xlfn.T.TEST(I5:I16,I62:I73,2,2)</f>
        <v>0.22434867986455459</v>
      </c>
    </row>
    <row r="63" spans="1:15" x14ac:dyDescent="0.35">
      <c r="A63">
        <v>2</v>
      </c>
      <c r="B63">
        <v>1.3340000000000001</v>
      </c>
      <c r="E63">
        <v>1.3340000000000001</v>
      </c>
      <c r="I63">
        <f t="shared" si="0"/>
        <v>1</v>
      </c>
    </row>
    <row r="64" spans="1:15" x14ac:dyDescent="0.35">
      <c r="A64">
        <v>3</v>
      </c>
      <c r="B64">
        <v>0.52700000000000002</v>
      </c>
      <c r="E64">
        <v>0.52700000000000002</v>
      </c>
      <c r="I64">
        <f t="shared" si="0"/>
        <v>1</v>
      </c>
    </row>
    <row r="65" spans="1:9" x14ac:dyDescent="0.35">
      <c r="A65">
        <v>4</v>
      </c>
      <c r="B65">
        <v>1.1559999999999999</v>
      </c>
      <c r="E65">
        <v>1.786</v>
      </c>
      <c r="I65">
        <f t="shared" si="0"/>
        <v>0.64725643896976481</v>
      </c>
    </row>
    <row r="66" spans="1:9" x14ac:dyDescent="0.35">
      <c r="A66">
        <v>5</v>
      </c>
      <c r="B66">
        <v>2.8450000000000002</v>
      </c>
      <c r="E66">
        <v>4.2910000000000004</v>
      </c>
      <c r="I66">
        <f t="shared" si="0"/>
        <v>0.66301561407597298</v>
      </c>
    </row>
    <row r="67" spans="1:9" x14ac:dyDescent="0.35">
      <c r="A67">
        <v>6</v>
      </c>
      <c r="B67">
        <v>0.47299999999999998</v>
      </c>
      <c r="E67">
        <v>0.47299999999999998</v>
      </c>
      <c r="I67">
        <f t="shared" si="0"/>
        <v>1</v>
      </c>
    </row>
    <row r="68" spans="1:9" x14ac:dyDescent="0.35">
      <c r="A68">
        <v>7</v>
      </c>
      <c r="B68">
        <v>1.1499999999999999</v>
      </c>
      <c r="E68">
        <v>1.1499999999999999</v>
      </c>
      <c r="I68">
        <f t="shared" si="0"/>
        <v>1</v>
      </c>
    </row>
    <row r="69" spans="1:9" x14ac:dyDescent="0.35">
      <c r="A69">
        <v>8</v>
      </c>
      <c r="B69">
        <v>0.94499999999999995</v>
      </c>
      <c r="E69">
        <v>0.94499999999999995</v>
      </c>
      <c r="I69">
        <f t="shared" si="0"/>
        <v>1</v>
      </c>
    </row>
    <row r="70" spans="1:9" x14ac:dyDescent="0.35">
      <c r="A70">
        <v>9</v>
      </c>
      <c r="B70">
        <v>1.0309999999999999</v>
      </c>
      <c r="E70">
        <v>1.0309999999999999</v>
      </c>
      <c r="I70">
        <f t="shared" ref="I70:I73" si="1">B70/E70</f>
        <v>1</v>
      </c>
    </row>
    <row r="71" spans="1:9" x14ac:dyDescent="0.35">
      <c r="A71">
        <v>10</v>
      </c>
      <c r="B71">
        <v>1.0609999999999999</v>
      </c>
      <c r="E71">
        <v>1.0609999999999999</v>
      </c>
      <c r="I71">
        <f t="shared" si="1"/>
        <v>1</v>
      </c>
    </row>
    <row r="72" spans="1:9" x14ac:dyDescent="0.35">
      <c r="A72">
        <v>11</v>
      </c>
      <c r="B72">
        <v>1.242</v>
      </c>
      <c r="E72">
        <v>1.242</v>
      </c>
      <c r="I72">
        <f t="shared" si="1"/>
        <v>1</v>
      </c>
    </row>
    <row r="73" spans="1:9" x14ac:dyDescent="0.35">
      <c r="A73">
        <v>12</v>
      </c>
      <c r="B73">
        <v>1.06</v>
      </c>
      <c r="E73">
        <v>1.06</v>
      </c>
      <c r="I73">
        <f t="shared" si="1"/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Duong, Ha</dc:creator>
  <cp:lastModifiedBy>Kaluwella Mudalige, Asha (MU-Student)</cp:lastModifiedBy>
  <dcterms:created xsi:type="dcterms:W3CDTF">2025-04-28T22:40:14Z</dcterms:created>
  <dcterms:modified xsi:type="dcterms:W3CDTF">2026-09-11T16:11:37Z</dcterms:modified>
</cp:coreProperties>
</file>