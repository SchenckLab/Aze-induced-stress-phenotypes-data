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data for ANOVA tests/"/>
    </mc:Choice>
  </mc:AlternateContent>
  <xr:revisionPtr revIDLastSave="98" documentId="8_{ABB171C4-BA1F-4636-9F42-BAF062E4DAD8}" xr6:coauthVersionLast="47" xr6:coauthVersionMax="47" xr10:uidLastSave="{D9050D3C-2A6B-5D43-AFCB-BFEE54124B43}"/>
  <bookViews>
    <workbookView xWindow="0" yWindow="600" windowWidth="22620" windowHeight="13500" xr2:uid="{CE324C55-0DAA-46DD-9CA6-B261D71BCC51}"/>
  </bookViews>
  <sheets>
    <sheet name="Plate 1 - Sheet1" sheetId="1" r:id="rId1"/>
  </sheets>
  <definedNames>
    <definedName name="MethodPointer1">-61532800</definedName>
    <definedName name="MethodPointer2">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" i="1" l="1"/>
  <c r="I57" i="1"/>
  <c r="I67" i="1"/>
  <c r="I78" i="1" s="1"/>
  <c r="I89" i="1" s="1"/>
  <c r="P94" i="1"/>
  <c r="O94" i="1"/>
  <c r="P93" i="1"/>
  <c r="O93" i="1"/>
  <c r="P91" i="1"/>
  <c r="O91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K92" i="1"/>
  <c r="I92" i="1"/>
  <c r="N91" i="1"/>
  <c r="M91" i="1"/>
  <c r="L91" i="1"/>
  <c r="K91" i="1"/>
  <c r="J91" i="1"/>
  <c r="I91" i="1"/>
  <c r="N90" i="1"/>
  <c r="L90" i="1"/>
  <c r="K90" i="1"/>
  <c r="I90" i="1"/>
  <c r="N89" i="1"/>
  <c r="L89" i="1"/>
  <c r="K89" i="1"/>
  <c r="I79" i="1"/>
  <c r="K79" i="1"/>
  <c r="L79" i="1"/>
  <c r="N79" i="1"/>
  <c r="I80" i="1"/>
  <c r="J80" i="1"/>
  <c r="K80" i="1"/>
  <c r="L80" i="1"/>
  <c r="M80" i="1"/>
  <c r="N80" i="1"/>
  <c r="I81" i="1"/>
  <c r="K81" i="1"/>
  <c r="M81" i="1"/>
  <c r="N81" i="1"/>
  <c r="I82" i="1"/>
  <c r="J82" i="1"/>
  <c r="K82" i="1"/>
  <c r="L82" i="1"/>
  <c r="M82" i="1"/>
  <c r="N82" i="1"/>
  <c r="I83" i="1"/>
  <c r="J83" i="1"/>
  <c r="K83" i="1"/>
  <c r="L83" i="1"/>
  <c r="M83" i="1"/>
  <c r="N83" i="1"/>
  <c r="K78" i="1"/>
  <c r="L78" i="1"/>
  <c r="N78" i="1"/>
  <c r="I68" i="1"/>
  <c r="K68" i="1"/>
  <c r="L68" i="1"/>
  <c r="M68" i="1"/>
  <c r="M79" i="1" s="1"/>
  <c r="M90" i="1" s="1"/>
  <c r="N68" i="1"/>
  <c r="I69" i="1"/>
  <c r="J69" i="1"/>
  <c r="K69" i="1"/>
  <c r="L69" i="1"/>
  <c r="M69" i="1"/>
  <c r="N69" i="1"/>
  <c r="I70" i="1"/>
  <c r="K70" i="1"/>
  <c r="M70" i="1"/>
  <c r="N70" i="1"/>
  <c r="I71" i="1"/>
  <c r="J71" i="1"/>
  <c r="K71" i="1"/>
  <c r="L71" i="1"/>
  <c r="M71" i="1"/>
  <c r="N71" i="1"/>
  <c r="I72" i="1"/>
  <c r="J72" i="1"/>
  <c r="K72" i="1"/>
  <c r="L72" i="1"/>
  <c r="M72" i="1"/>
  <c r="N72" i="1"/>
  <c r="K67" i="1"/>
  <c r="L67" i="1"/>
  <c r="N67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L70" i="1" s="1"/>
  <c r="L81" i="1" s="1"/>
  <c r="L92" i="1" s="1"/>
  <c r="K60" i="1"/>
  <c r="J60" i="1"/>
  <c r="J70" i="1" s="1"/>
  <c r="J81" i="1" s="1"/>
  <c r="J92" i="1" s="1"/>
  <c r="I60" i="1"/>
  <c r="N59" i="1"/>
  <c r="M59" i="1"/>
  <c r="L59" i="1"/>
  <c r="K59" i="1"/>
  <c r="J59" i="1"/>
  <c r="I59" i="1"/>
  <c r="N58" i="1"/>
  <c r="M58" i="1"/>
  <c r="L58" i="1"/>
  <c r="K58" i="1"/>
  <c r="J58" i="1"/>
  <c r="J68" i="1" s="1"/>
  <c r="J79" i="1" s="1"/>
  <c r="J90" i="1" s="1"/>
  <c r="I58" i="1"/>
  <c r="N57" i="1"/>
  <c r="M57" i="1"/>
  <c r="M67" i="1" s="1"/>
  <c r="M78" i="1" s="1"/>
  <c r="M89" i="1" s="1"/>
  <c r="L57" i="1"/>
  <c r="K57" i="1"/>
  <c r="J57" i="1"/>
  <c r="J67" i="1" s="1"/>
  <c r="J78" i="1" s="1"/>
  <c r="J89" i="1" s="1"/>
  <c r="D54" i="1"/>
  <c r="E54" i="1"/>
  <c r="F54" i="1"/>
  <c r="G54" i="1"/>
  <c r="H54" i="1"/>
  <c r="I54" i="1"/>
  <c r="J54" i="1"/>
  <c r="K54" i="1"/>
  <c r="L54" i="1"/>
  <c r="M54" i="1"/>
  <c r="C54" i="1"/>
  <c r="D53" i="1"/>
  <c r="E53" i="1"/>
  <c r="F53" i="1"/>
  <c r="G53" i="1"/>
  <c r="H53" i="1"/>
  <c r="I53" i="1"/>
  <c r="J53" i="1"/>
  <c r="K53" i="1"/>
  <c r="L53" i="1"/>
  <c r="M53" i="1"/>
  <c r="C53" i="1"/>
  <c r="M52" i="1"/>
  <c r="L52" i="1"/>
  <c r="K52" i="1"/>
  <c r="J52" i="1"/>
  <c r="I52" i="1"/>
  <c r="H52" i="1"/>
  <c r="G52" i="1"/>
  <c r="F52" i="1"/>
  <c r="E52" i="1"/>
  <c r="D52" i="1"/>
  <c r="C52" i="1"/>
  <c r="K51" i="1"/>
  <c r="J51" i="1"/>
  <c r="I51" i="1"/>
  <c r="H51" i="1"/>
  <c r="G51" i="1"/>
  <c r="F51" i="1"/>
  <c r="E51" i="1"/>
  <c r="D51" i="1"/>
  <c r="C51" i="1"/>
  <c r="C50" i="1"/>
  <c r="O92" i="1" l="1"/>
  <c r="P92" i="1"/>
  <c r="P90" i="1"/>
  <c r="O90" i="1"/>
  <c r="P89" i="1"/>
</calcChain>
</file>

<file path=xl/sharedStrings.xml><?xml version="1.0" encoding="utf-8"?>
<sst xmlns="http://schemas.openxmlformats.org/spreadsheetml/2006/main" count="161" uniqueCount="57">
  <si>
    <t>Software Version</t>
  </si>
  <si>
    <t>3.12.08</t>
  </si>
  <si>
    <t>Experiment File Path:</t>
  </si>
  <si>
    <t>D:\schenck lab\amplex red\9-12-2026 Rapid.xpt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</si>
  <si>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</si>
  <si>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</si>
  <si>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</si>
  <si>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</si>
  <si>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</si>
  <si>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</si>
  <si>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</si>
  <si>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</si>
  <si>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2203071E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</si>
  <si>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</si>
  <si>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</si>
  <si>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</si>
  <si>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</si>
  <si>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</si>
  <si>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</si>
  <si>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</si>
  <si>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</si>
  <si>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</si>
  <si>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</si>
  <si>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545/9,  Emission: 590/20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</si>
  <si>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</si>
  <si>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</si>
  <si>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</si>
  <si>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</si>
  <si>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</si>
  <si>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</si>
  <si>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</si>
  <si>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</si>
  <si>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</si>
  <si>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</si>
  <si>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</si>
  <si>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</si>
  <si>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</si>
  <si>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</si>
  <si>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100 A</t>
  </si>
  <si>
    <t>1000 P</t>
  </si>
  <si>
    <t>A + P</t>
  </si>
  <si>
    <t>control</t>
  </si>
  <si>
    <t>mean A</t>
  </si>
  <si>
    <t>mean H2O2</t>
  </si>
  <si>
    <t>mean H2O2 - A</t>
  </si>
  <si>
    <t>(mean H2O2 - A - mean H2O2 of 0</t>
  </si>
  <si>
    <t>S-C</t>
  </si>
  <si>
    <t>sample was 25ul</t>
  </si>
  <si>
    <t>H2O2 uM in 25ul</t>
  </si>
  <si>
    <t>Total vol was 500ul</t>
  </si>
  <si>
    <t>H2O2 uM in 500ul</t>
  </si>
  <si>
    <t>Total weight was 100mg</t>
  </si>
  <si>
    <t>H2O2 uM in 1mg</t>
  </si>
  <si>
    <t>100 A (ctrl)</t>
  </si>
  <si>
    <t>1000 P (ctrl)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</si>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</sst>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 standard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1 - Sheet1'!$O$51:$Y$51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'Plate 1 - Sheet1'!$O$52:$Y$52</c:f>
              <c:numCache>
                <c:formatCode>General</c:formatCode>
                <c:ptCount val="11"/>
                <c:pt idx="0">
                  <c:v>0</c:v>
                </c:pt>
                <c:pt idx="1">
                  <c:v>4103</c:v>
                </c:pt>
                <c:pt idx="2">
                  <c:v>9343.5</c:v>
                </c:pt>
                <c:pt idx="3">
                  <c:v>19147.5</c:v>
                </c:pt>
                <c:pt idx="4">
                  <c:v>28749</c:v>
                </c:pt>
                <c:pt idx="5">
                  <c:v>37481.5</c:v>
                </c:pt>
                <c:pt idx="6">
                  <c:v>47728</c:v>
                </c:pt>
                <c:pt idx="7">
                  <c:v>92411.5</c:v>
                </c:pt>
                <c:pt idx="8">
                  <c:v>130001</c:v>
                </c:pt>
                <c:pt idx="9">
                  <c:v>168138.5</c:v>
                </c:pt>
                <c:pt idx="10">
                  <c:v>203022.5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7E-4FD2-BB18-354B3E1CE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89631"/>
        <c:axId val="296433007"/>
      </c:scatterChart>
      <c:valAx>
        <c:axId val="51128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33007"/>
        <c:crosses val="autoZero"/>
        <c:crossBetween val="midCat"/>
      </c:valAx>
      <c:valAx>
        <c:axId val="296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8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 uM in 1mg tissue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1 - Sheet1'!$C$100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'Plate 1 - Sheet1'!$E$100:$E$103</c:f>
                <c:numCache>
                  <c:formatCode>General</c:formatCode>
                  <c:ptCount val="4"/>
                  <c:pt idx="0">
                    <c:v>5.6918235751459233E-2</c:v>
                  </c:pt>
                  <c:pt idx="1">
                    <c:v>5.6650133769269084E-2</c:v>
                  </c:pt>
                  <c:pt idx="2">
                    <c:v>0.18788709626413216</c:v>
                  </c:pt>
                  <c:pt idx="3">
                    <c:v>7.6665833483583953E-2</c:v>
                  </c:pt>
                </c:numCache>
              </c:numRef>
            </c:plus>
            <c:minus>
              <c:numRef>
                <c:f>'Plate 1 - Sheet1'!$E$100:$E$103</c:f>
                <c:numCache>
                  <c:formatCode>General</c:formatCode>
                  <c:ptCount val="4"/>
                  <c:pt idx="0">
                    <c:v>5.6918235751459233E-2</c:v>
                  </c:pt>
                  <c:pt idx="1">
                    <c:v>5.6650133769269084E-2</c:v>
                  </c:pt>
                  <c:pt idx="2">
                    <c:v>0.18788709626413216</c:v>
                  </c:pt>
                  <c:pt idx="3">
                    <c:v>7.6665833483583953E-2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'Plate 1 - Sheet1'!$C$100:$C$103</c:f>
              <c:strCache>
                <c:ptCount val="4"/>
                <c:pt idx="0">
                  <c:v>0</c:v>
                </c:pt>
                <c:pt idx="1">
                  <c:v>100 A</c:v>
                </c:pt>
                <c:pt idx="2">
                  <c:v>1000 P</c:v>
                </c:pt>
                <c:pt idx="3">
                  <c:v>A + P</c:v>
                </c:pt>
              </c:strCache>
            </c:strRef>
          </c:cat>
          <c:val>
            <c:numRef>
              <c:f>('Plate 1 - Sheet1'!$O$90,'Plate 1 - Sheet1'!$O$89,'Plate 1 - Sheet1'!$O$92,'Plate 1 - Sheet1'!$O$91)</c:f>
              <c:numCache>
                <c:formatCode>General</c:formatCode>
                <c:ptCount val="4"/>
                <c:pt idx="0">
                  <c:v>1.6640914827394504</c:v>
                </c:pt>
                <c:pt idx="1">
                  <c:v>2.0433000986085244</c:v>
                </c:pt>
                <c:pt idx="2">
                  <c:v>1.4236003067820751</c:v>
                </c:pt>
                <c:pt idx="3">
                  <c:v>2.3430537801963243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1-4D23-9972-EE93AF72C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314511"/>
        <c:axId val="296469007"/>
      </c:barChart>
      <c:catAx>
        <c:axId val="57031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69007"/>
        <c:crosses val="autoZero"/>
        <c:auto val="1"/>
        <c:lblAlgn val="ctr"/>
        <c:lblOffset val="100"/>
        <c:noMultiLvlLbl val="0"/>
      </c:catAx>
      <c:valAx>
        <c:axId val="296469007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1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</xdr:colOff>
      <xdr:row>52</xdr:row>
      <xdr:rowOff>165100</xdr:rowOff>
    </xdr:from>
    <xdr:to>
      <xdr:col>23</xdr:col>
      <xdr:colOff>371475</xdr:colOff>
      <xdr:row>67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7A6BA-FCDB-84E4-3C60-E1CBD5845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218722</xdr:colOff>
      <xdr:row>96</xdr:row>
      <xdr:rowOff>168862</xdr:rowOff>
    </xdr:from>
    <xdr:to>
      <xdr:col>13</xdr:col>
      <xdr:colOff>314364</xdr:colOff>
      <xdr:row>114</xdr:row>
      <xdr:rowOff>74161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C164E-54B3-49D9-915B-C46C20DD6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E2E9-C10E-4613-80E5-770C423E3CC7}">
  <dimension ref="A2:Y103"/>
  <sheetViews>
    <sheetView tabSelected="1" topLeftCell="A82" zoomScale="81" zoomScaleNormal="81" workbookViewId="0">
      <selection activeCell="V90" sqref="V90:V9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  <col min="9" max="9" width="11.5" bestFit="1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</row>
    <row r="6" spans="1:2" x14ac:dyDescent="0.15">
      <c r="A6" t="s">
        <v>5</v>
      </c>
      <c r="B6" t="s">
        <v>6</v>
      </c>
    </row>
    <row r="7" spans="1:2" x14ac:dyDescent="0.15">
      <c r="A7" t="s">
        <v>7</v>
      </c>
      <c r="B7" s="1">
        <v>46277</v>
      </c>
    </row>
    <row r="8" spans="1:2" x14ac:dyDescent="0.15">
      <c r="A8" t="s">
        <v>8</v>
      </c>
      <c r="B8" s="2">
        <v>0.80864583333333329</v>
      </c>
    </row>
    <row r="9" spans="1:2" x14ac:dyDescent="0.15">
      <c r="A9" t="s">
        <v>9</v>
      </c>
      <c r="B9" t="s">
        <v>10</v>
      </c>
    </row>
    <row r="10" spans="1:2" x14ac:dyDescent="0.15">
      <c r="A10" t="s">
        <v>11</v>
      </c>
      <c r="B10" t="s">
        <v>12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5" x14ac:dyDescent="0.15">
      <c r="B17" t="s">
        <v>21</v>
      </c>
    </row>
    <row r="18" spans="1:15" x14ac:dyDescent="0.15">
      <c r="B18" t="s">
        <v>22</v>
      </c>
    </row>
    <row r="19" spans="1:15" x14ac:dyDescent="0.15">
      <c r="B19" t="s">
        <v>23</v>
      </c>
    </row>
    <row r="20" spans="1:15" x14ac:dyDescent="0.15">
      <c r="B20" t="s">
        <v>24</v>
      </c>
    </row>
    <row r="21" spans="1:15" x14ac:dyDescent="0.15">
      <c r="B21" t="s">
        <v>25</v>
      </c>
    </row>
    <row r="22" spans="1:15" x14ac:dyDescent="0.15">
      <c r="B22" t="s">
        <v>26</v>
      </c>
    </row>
    <row r="23" spans="1:15" x14ac:dyDescent="0.15">
      <c r="B23" t="s">
        <v>27</v>
      </c>
    </row>
    <row r="25" spans="1:15" ht="14" x14ac:dyDescent="0.15">
      <c r="A25" s="3" t="s">
        <v>28</v>
      </c>
      <c r="B25" s="4"/>
    </row>
    <row r="26" spans="1:15" x14ac:dyDescent="0.15">
      <c r="A26" t="s">
        <v>29</v>
      </c>
      <c r="B26">
        <v>22.6</v>
      </c>
    </row>
    <row r="28" spans="1:15" x14ac:dyDescent="0.1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4" x14ac:dyDescent="0.15">
      <c r="B29" s="6" t="s">
        <v>30</v>
      </c>
      <c r="C29" s="7">
        <v>25</v>
      </c>
      <c r="D29" s="7">
        <v>26</v>
      </c>
      <c r="E29" s="7">
        <v>36</v>
      </c>
      <c r="F29" s="7">
        <v>29</v>
      </c>
      <c r="G29" s="7">
        <v>25</v>
      </c>
      <c r="H29" s="7">
        <v>36</v>
      </c>
      <c r="I29" s="8">
        <v>44430</v>
      </c>
      <c r="J29" s="8">
        <v>49907</v>
      </c>
      <c r="K29" s="8">
        <v>43472</v>
      </c>
      <c r="L29" s="8">
        <v>43270</v>
      </c>
      <c r="M29" s="8">
        <v>48761</v>
      </c>
      <c r="N29" s="8">
        <v>42722</v>
      </c>
      <c r="O29" s="9">
        <v>545590</v>
      </c>
    </row>
    <row r="30" spans="1:15" ht="14" x14ac:dyDescent="0.15">
      <c r="B30" s="6" t="s">
        <v>31</v>
      </c>
      <c r="C30" s="7">
        <v>24</v>
      </c>
      <c r="D30" s="7">
        <v>21</v>
      </c>
      <c r="E30" s="7">
        <v>24</v>
      </c>
      <c r="F30" s="7">
        <v>32</v>
      </c>
      <c r="G30" s="7">
        <v>36</v>
      </c>
      <c r="H30" s="7">
        <v>27</v>
      </c>
      <c r="I30" s="8">
        <v>40967</v>
      </c>
      <c r="J30" s="8">
        <v>36900</v>
      </c>
      <c r="K30" s="8">
        <v>39825</v>
      </c>
      <c r="L30" s="8">
        <v>37641</v>
      </c>
      <c r="M30" s="8">
        <v>30685</v>
      </c>
      <c r="N30" s="8">
        <v>39807</v>
      </c>
      <c r="O30" s="9">
        <v>545590</v>
      </c>
    </row>
    <row r="31" spans="1:15" ht="14" x14ac:dyDescent="0.15">
      <c r="B31" s="6" t="s">
        <v>32</v>
      </c>
      <c r="C31" s="7">
        <v>31</v>
      </c>
      <c r="D31" s="7">
        <v>33</v>
      </c>
      <c r="E31" s="7">
        <v>28</v>
      </c>
      <c r="F31" s="7">
        <v>28</v>
      </c>
      <c r="G31" s="7">
        <v>31</v>
      </c>
      <c r="H31" s="7">
        <v>24</v>
      </c>
      <c r="I31" s="10">
        <v>57769</v>
      </c>
      <c r="J31" s="10">
        <v>51308</v>
      </c>
      <c r="K31" s="10">
        <v>48621</v>
      </c>
      <c r="L31" s="10">
        <v>47580</v>
      </c>
      <c r="M31" s="10">
        <v>54433</v>
      </c>
      <c r="N31" s="10">
        <v>49783</v>
      </c>
      <c r="O31" s="9">
        <v>545590</v>
      </c>
    </row>
    <row r="32" spans="1:15" ht="14" x14ac:dyDescent="0.15">
      <c r="B32" s="6" t="s">
        <v>33</v>
      </c>
      <c r="C32" s="7">
        <v>22</v>
      </c>
      <c r="D32" s="7">
        <v>22</v>
      </c>
      <c r="E32" s="7">
        <v>28</v>
      </c>
      <c r="F32" s="7">
        <v>25</v>
      </c>
      <c r="G32" s="7">
        <v>30</v>
      </c>
      <c r="H32" s="7">
        <v>24</v>
      </c>
      <c r="I32" s="8">
        <v>32223</v>
      </c>
      <c r="J32" s="8">
        <v>39958</v>
      </c>
      <c r="K32" s="11">
        <v>29727</v>
      </c>
      <c r="L32" s="11">
        <v>33049</v>
      </c>
      <c r="M32" s="11">
        <v>29381</v>
      </c>
      <c r="N32" s="8">
        <v>31842</v>
      </c>
      <c r="O32" s="9">
        <v>545590</v>
      </c>
    </row>
    <row r="33" spans="1:15" ht="14" x14ac:dyDescent="0.15">
      <c r="B33" s="6" t="s">
        <v>34</v>
      </c>
      <c r="C33" s="7">
        <v>19</v>
      </c>
      <c r="D33" s="7">
        <v>14</v>
      </c>
      <c r="E33" s="7">
        <v>18</v>
      </c>
      <c r="F33" s="7">
        <v>15</v>
      </c>
      <c r="G33" s="7">
        <v>16</v>
      </c>
      <c r="H33" s="7">
        <v>24</v>
      </c>
      <c r="I33" s="7">
        <v>4033</v>
      </c>
      <c r="J33" s="7">
        <v>3808</v>
      </c>
      <c r="K33" s="7">
        <v>4137</v>
      </c>
      <c r="L33" s="7">
        <v>3832</v>
      </c>
      <c r="M33" s="7">
        <v>4173</v>
      </c>
      <c r="N33" s="7">
        <v>4255</v>
      </c>
      <c r="O33" s="9">
        <v>545590</v>
      </c>
    </row>
    <row r="34" spans="1:15" ht="14" x14ac:dyDescent="0.15">
      <c r="B34" s="6" t="s">
        <v>35</v>
      </c>
      <c r="C34" s="7">
        <v>16</v>
      </c>
      <c r="D34" s="7">
        <v>18</v>
      </c>
      <c r="E34" s="7">
        <v>15</v>
      </c>
      <c r="F34" s="7">
        <v>22</v>
      </c>
      <c r="G34" s="7">
        <v>401</v>
      </c>
      <c r="H34" s="7">
        <v>64</v>
      </c>
      <c r="I34" s="7">
        <v>4806</v>
      </c>
      <c r="J34" s="7">
        <v>4391</v>
      </c>
      <c r="K34" s="7">
        <v>4698</v>
      </c>
      <c r="L34" s="7">
        <v>4173</v>
      </c>
      <c r="M34" s="7">
        <v>4012</v>
      </c>
      <c r="N34" s="7">
        <v>5100</v>
      </c>
      <c r="O34" s="9">
        <v>545590</v>
      </c>
    </row>
    <row r="35" spans="1:15" ht="14" x14ac:dyDescent="0.15">
      <c r="B35" s="6" t="s">
        <v>36</v>
      </c>
      <c r="C35" s="7">
        <v>5335</v>
      </c>
      <c r="D35" s="7">
        <v>9783</v>
      </c>
      <c r="E35" s="11">
        <v>14972</v>
      </c>
      <c r="F35" s="11">
        <v>23808</v>
      </c>
      <c r="G35" s="8">
        <v>33633</v>
      </c>
      <c r="H35" s="8">
        <v>42623</v>
      </c>
      <c r="I35" s="10">
        <v>53207</v>
      </c>
      <c r="J35" s="12">
        <v>98307</v>
      </c>
      <c r="K35" s="13">
        <v>132073</v>
      </c>
      <c r="L35" s="14">
        <v>171557</v>
      </c>
      <c r="M35" s="15">
        <v>207724</v>
      </c>
      <c r="N35" s="7">
        <v>186</v>
      </c>
      <c r="O35" s="9">
        <v>545590</v>
      </c>
    </row>
    <row r="36" spans="1:15" ht="14" x14ac:dyDescent="0.15">
      <c r="B36" s="6" t="s">
        <v>37</v>
      </c>
      <c r="C36" s="7">
        <v>5372</v>
      </c>
      <c r="D36" s="7">
        <v>9130</v>
      </c>
      <c r="E36" s="7">
        <v>14422</v>
      </c>
      <c r="F36" s="11">
        <v>25194</v>
      </c>
      <c r="G36" s="8">
        <v>34572</v>
      </c>
      <c r="H36" s="8">
        <v>43047</v>
      </c>
      <c r="I36" s="10">
        <v>52956</v>
      </c>
      <c r="J36" s="12">
        <v>97223</v>
      </c>
      <c r="K36" s="16">
        <v>138636</v>
      </c>
      <c r="L36" s="14">
        <v>175427</v>
      </c>
      <c r="M36" s="15">
        <v>209028</v>
      </c>
      <c r="N36" s="7">
        <v>159</v>
      </c>
      <c r="O36" s="9">
        <v>545590</v>
      </c>
    </row>
    <row r="39" spans="1:15" x14ac:dyDescent="0.15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1:15" ht="14" x14ac:dyDescent="0.15">
      <c r="B40" s="6" t="s">
        <v>30</v>
      </c>
      <c r="C40" s="17" t="s">
        <v>38</v>
      </c>
      <c r="D40" s="17" t="s">
        <v>38</v>
      </c>
      <c r="E40" s="17" t="s">
        <v>38</v>
      </c>
      <c r="F40" s="17" t="s">
        <v>38</v>
      </c>
      <c r="G40" s="17" t="s">
        <v>38</v>
      </c>
      <c r="H40" s="17" t="s">
        <v>38</v>
      </c>
      <c r="I40" s="18" t="s">
        <v>38</v>
      </c>
      <c r="J40" s="18" t="s">
        <v>38</v>
      </c>
      <c r="K40" s="18" t="s">
        <v>38</v>
      </c>
      <c r="L40" s="18" t="s">
        <v>38</v>
      </c>
      <c r="M40" s="18" t="s">
        <v>38</v>
      </c>
      <c r="N40" s="18" t="s">
        <v>38</v>
      </c>
    </row>
    <row r="41" spans="1:15" ht="14" x14ac:dyDescent="0.15">
      <c r="B41" s="6" t="s">
        <v>31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</row>
    <row r="42" spans="1:15" ht="14" x14ac:dyDescent="0.15">
      <c r="B42" s="6" t="s">
        <v>32</v>
      </c>
      <c r="C42" s="17" t="s">
        <v>39</v>
      </c>
      <c r="D42" s="17" t="s">
        <v>39</v>
      </c>
      <c r="E42" s="17" t="s">
        <v>39</v>
      </c>
      <c r="F42" s="17" t="s">
        <v>39</v>
      </c>
      <c r="G42" s="17" t="s">
        <v>39</v>
      </c>
      <c r="H42" s="17" t="s">
        <v>39</v>
      </c>
      <c r="I42" s="18" t="s">
        <v>39</v>
      </c>
      <c r="J42" s="18" t="s">
        <v>39</v>
      </c>
      <c r="K42" s="18" t="s">
        <v>39</v>
      </c>
      <c r="L42" s="18" t="s">
        <v>39</v>
      </c>
      <c r="M42" s="18" t="s">
        <v>39</v>
      </c>
      <c r="N42" s="18" t="s">
        <v>39</v>
      </c>
    </row>
    <row r="43" spans="1:15" ht="14" x14ac:dyDescent="0.15">
      <c r="B43" s="6" t="s">
        <v>33</v>
      </c>
      <c r="C43" s="17" t="s">
        <v>40</v>
      </c>
      <c r="D43" s="17" t="s">
        <v>40</v>
      </c>
      <c r="E43" s="17" t="s">
        <v>40</v>
      </c>
      <c r="F43" s="17" t="s">
        <v>40</v>
      </c>
      <c r="G43" s="17" t="s">
        <v>40</v>
      </c>
      <c r="H43" s="17" t="s">
        <v>40</v>
      </c>
      <c r="I43" s="18" t="s">
        <v>40</v>
      </c>
      <c r="J43" s="18" t="s">
        <v>40</v>
      </c>
      <c r="K43" s="18" t="s">
        <v>40</v>
      </c>
      <c r="L43" s="18" t="s">
        <v>40</v>
      </c>
      <c r="M43" s="18" t="s">
        <v>40</v>
      </c>
      <c r="N43" s="18" t="s">
        <v>40</v>
      </c>
    </row>
    <row r="44" spans="1:15" ht="14" x14ac:dyDescent="0.15">
      <c r="A44" t="s">
        <v>41</v>
      </c>
      <c r="B44" s="6" t="s">
        <v>34</v>
      </c>
      <c r="C44" s="17" t="s">
        <v>38</v>
      </c>
      <c r="D44" s="17" t="s">
        <v>38</v>
      </c>
      <c r="E44" s="17" t="s">
        <v>38</v>
      </c>
      <c r="F44" s="17" t="s">
        <v>38</v>
      </c>
      <c r="G44" s="17" t="s">
        <v>38</v>
      </c>
      <c r="H44" s="17" t="s">
        <v>38</v>
      </c>
      <c r="I44" s="18" t="s">
        <v>38</v>
      </c>
      <c r="J44" s="18" t="s">
        <v>38</v>
      </c>
      <c r="K44" s="18" t="s">
        <v>38</v>
      </c>
      <c r="L44" s="18" t="s">
        <v>38</v>
      </c>
      <c r="M44" s="18" t="s">
        <v>38</v>
      </c>
      <c r="N44" s="18" t="s">
        <v>38</v>
      </c>
    </row>
    <row r="45" spans="1:15" ht="14" x14ac:dyDescent="0.15">
      <c r="A45" t="s">
        <v>41</v>
      </c>
      <c r="B45" s="6" t="s">
        <v>35</v>
      </c>
      <c r="C45" s="17" t="s">
        <v>39</v>
      </c>
      <c r="D45" s="17" t="s">
        <v>39</v>
      </c>
      <c r="E45" s="17" t="s">
        <v>39</v>
      </c>
      <c r="F45" s="17" t="s">
        <v>39</v>
      </c>
      <c r="G45" s="17" t="s">
        <v>39</v>
      </c>
      <c r="H45" s="17" t="s">
        <v>39</v>
      </c>
      <c r="I45" s="18" t="s">
        <v>39</v>
      </c>
      <c r="J45" s="18" t="s">
        <v>39</v>
      </c>
      <c r="K45" s="18" t="s">
        <v>39</v>
      </c>
      <c r="L45" s="18" t="s">
        <v>39</v>
      </c>
      <c r="M45" s="18" t="s">
        <v>39</v>
      </c>
      <c r="N45" s="18" t="s">
        <v>39</v>
      </c>
    </row>
    <row r="46" spans="1:15" ht="14" x14ac:dyDescent="0.15">
      <c r="B46" s="6" t="s">
        <v>36</v>
      </c>
      <c r="C46" s="7">
        <v>0</v>
      </c>
      <c r="D46" s="7">
        <v>0.5</v>
      </c>
      <c r="E46" s="11">
        <v>1</v>
      </c>
      <c r="F46" s="11">
        <v>2</v>
      </c>
      <c r="G46" s="8">
        <v>3</v>
      </c>
      <c r="H46" s="8">
        <v>4</v>
      </c>
      <c r="I46" s="10">
        <v>5</v>
      </c>
      <c r="J46" s="12">
        <v>10</v>
      </c>
      <c r="K46" s="13">
        <v>15</v>
      </c>
      <c r="L46" s="14">
        <v>20</v>
      </c>
      <c r="M46" s="15">
        <v>25</v>
      </c>
      <c r="N46" s="19" t="s">
        <v>30</v>
      </c>
    </row>
    <row r="47" spans="1:15" ht="14" x14ac:dyDescent="0.15">
      <c r="B47" s="6" t="s">
        <v>37</v>
      </c>
      <c r="C47" s="7">
        <v>0</v>
      </c>
      <c r="D47" s="7">
        <v>0.5</v>
      </c>
      <c r="E47" s="11">
        <v>1</v>
      </c>
      <c r="F47" s="11">
        <v>2</v>
      </c>
      <c r="G47" s="8">
        <v>3</v>
      </c>
      <c r="H47" s="8">
        <v>4</v>
      </c>
      <c r="I47" s="10">
        <v>5</v>
      </c>
      <c r="J47" s="12">
        <v>10</v>
      </c>
      <c r="K47" s="13">
        <v>15</v>
      </c>
      <c r="L47" s="14">
        <v>20</v>
      </c>
      <c r="M47" s="15">
        <v>25</v>
      </c>
      <c r="N47" s="19" t="s">
        <v>30</v>
      </c>
    </row>
    <row r="50" spans="2:25" ht="14" x14ac:dyDescent="0.15">
      <c r="B50" s="20" t="s">
        <v>42</v>
      </c>
      <c r="C50">
        <f>AVERAGE(N35:N36)</f>
        <v>172.5</v>
      </c>
    </row>
    <row r="51" spans="2:25" ht="14" x14ac:dyDescent="0.15">
      <c r="B51" s="20" t="s">
        <v>43</v>
      </c>
      <c r="C51">
        <f>AVERAGE(C46,C47)</f>
        <v>0</v>
      </c>
      <c r="D51">
        <f t="shared" ref="D51:I51" si="0">AVERAGE(D46,D47)</f>
        <v>0.5</v>
      </c>
      <c r="E51">
        <f t="shared" si="0"/>
        <v>1</v>
      </c>
      <c r="F51">
        <f t="shared" si="0"/>
        <v>2</v>
      </c>
      <c r="G51">
        <f t="shared" si="0"/>
        <v>3</v>
      </c>
      <c r="H51">
        <f t="shared" si="0"/>
        <v>4</v>
      </c>
      <c r="I51">
        <f t="shared" si="0"/>
        <v>5</v>
      </c>
      <c r="J51">
        <f>AVERAGE(J46,J47)</f>
        <v>10</v>
      </c>
      <c r="K51">
        <f>AVERAGE(K46,K47)</f>
        <v>15</v>
      </c>
      <c r="L51">
        <v>20</v>
      </c>
      <c r="M51">
        <v>25</v>
      </c>
      <c r="O51">
        <v>0</v>
      </c>
      <c r="P51">
        <v>0.5</v>
      </c>
      <c r="Q51">
        <v>1</v>
      </c>
      <c r="R51">
        <v>2</v>
      </c>
      <c r="S51">
        <v>3</v>
      </c>
      <c r="T51">
        <v>4</v>
      </c>
      <c r="U51">
        <v>5</v>
      </c>
      <c r="V51">
        <v>10</v>
      </c>
      <c r="W51">
        <v>15</v>
      </c>
      <c r="X51">
        <v>20</v>
      </c>
      <c r="Y51">
        <v>25</v>
      </c>
    </row>
    <row r="52" spans="2:25" x14ac:dyDescent="0.15">
      <c r="C52">
        <f>AVERAGE(C35:C36)</f>
        <v>5353.5</v>
      </c>
      <c r="D52">
        <f t="shared" ref="D52:M52" si="1">AVERAGE(D35:D36)</f>
        <v>9456.5</v>
      </c>
      <c r="E52">
        <f t="shared" si="1"/>
        <v>14697</v>
      </c>
      <c r="F52">
        <f t="shared" si="1"/>
        <v>24501</v>
      </c>
      <c r="G52">
        <f t="shared" si="1"/>
        <v>34102.5</v>
      </c>
      <c r="H52">
        <f t="shared" si="1"/>
        <v>42835</v>
      </c>
      <c r="I52">
        <f t="shared" si="1"/>
        <v>53081.5</v>
      </c>
      <c r="J52">
        <f t="shared" si="1"/>
        <v>97765</v>
      </c>
      <c r="K52">
        <f t="shared" si="1"/>
        <v>135354.5</v>
      </c>
      <c r="L52">
        <f t="shared" si="1"/>
        <v>173492</v>
      </c>
      <c r="M52">
        <f t="shared" si="1"/>
        <v>208376</v>
      </c>
      <c r="O52">
        <v>0</v>
      </c>
      <c r="P52">
        <v>4103</v>
      </c>
      <c r="Q52">
        <v>9343.5</v>
      </c>
      <c r="R52">
        <v>19147.5</v>
      </c>
      <c r="S52">
        <v>28749</v>
      </c>
      <c r="T52">
        <v>37481.5</v>
      </c>
      <c r="U52">
        <v>47728</v>
      </c>
      <c r="V52">
        <v>92411.5</v>
      </c>
      <c r="W52">
        <v>130001</v>
      </c>
      <c r="X52">
        <v>168138.5</v>
      </c>
      <c r="Y52">
        <v>203022.5</v>
      </c>
    </row>
    <row r="53" spans="2:25" ht="28" x14ac:dyDescent="0.15">
      <c r="B53" s="20" t="s">
        <v>44</v>
      </c>
      <c r="C53">
        <f>C52-172.5</f>
        <v>5181</v>
      </c>
      <c r="D53">
        <f t="shared" ref="D53:M53" si="2">D52-172.5</f>
        <v>9284</v>
      </c>
      <c r="E53">
        <f t="shared" si="2"/>
        <v>14524.5</v>
      </c>
      <c r="F53">
        <f t="shared" si="2"/>
        <v>24328.5</v>
      </c>
      <c r="G53">
        <f t="shared" si="2"/>
        <v>33930</v>
      </c>
      <c r="H53">
        <f t="shared" si="2"/>
        <v>42662.5</v>
      </c>
      <c r="I53">
        <f t="shared" si="2"/>
        <v>52909</v>
      </c>
      <c r="J53">
        <f t="shared" si="2"/>
        <v>97592.5</v>
      </c>
      <c r="K53">
        <f t="shared" si="2"/>
        <v>135182</v>
      </c>
      <c r="L53">
        <f t="shared" si="2"/>
        <v>173319.5</v>
      </c>
      <c r="M53">
        <f t="shared" si="2"/>
        <v>208203.5</v>
      </c>
    </row>
    <row r="54" spans="2:25" ht="42" x14ac:dyDescent="0.15">
      <c r="B54" s="21" t="s">
        <v>45</v>
      </c>
      <c r="C54">
        <f>C53-5181</f>
        <v>0</v>
      </c>
      <c r="D54">
        <f t="shared" ref="D54:M54" si="3">D53-5181</f>
        <v>4103</v>
      </c>
      <c r="E54">
        <f t="shared" si="3"/>
        <v>9343.5</v>
      </c>
      <c r="F54">
        <f t="shared" si="3"/>
        <v>19147.5</v>
      </c>
      <c r="G54">
        <f t="shared" si="3"/>
        <v>28749</v>
      </c>
      <c r="H54">
        <f t="shared" si="3"/>
        <v>37481.5</v>
      </c>
      <c r="I54">
        <f t="shared" si="3"/>
        <v>47728</v>
      </c>
      <c r="J54">
        <f t="shared" si="3"/>
        <v>92411.5</v>
      </c>
      <c r="K54">
        <f t="shared" si="3"/>
        <v>130001</v>
      </c>
      <c r="L54">
        <f t="shared" si="3"/>
        <v>168138.5</v>
      </c>
      <c r="M54">
        <f t="shared" si="3"/>
        <v>203022.5</v>
      </c>
    </row>
    <row r="57" spans="2:25" ht="14" x14ac:dyDescent="0.15">
      <c r="B57" s="6" t="s">
        <v>46</v>
      </c>
      <c r="C57" s="22"/>
      <c r="D57" s="22"/>
      <c r="E57" s="22"/>
      <c r="F57" s="22"/>
      <c r="G57" s="22"/>
      <c r="H57" s="22"/>
      <c r="I57" s="22">
        <f>I29-C29</f>
        <v>44405</v>
      </c>
      <c r="J57" s="22">
        <f t="shared" ref="J57:N62" si="4">J29-D29</f>
        <v>49881</v>
      </c>
      <c r="K57" s="22">
        <f t="shared" si="4"/>
        <v>43436</v>
      </c>
      <c r="L57" s="22">
        <f t="shared" si="4"/>
        <v>43241</v>
      </c>
      <c r="M57" s="22">
        <f t="shared" si="4"/>
        <v>48736</v>
      </c>
      <c r="N57" s="22">
        <f t="shared" si="4"/>
        <v>42686</v>
      </c>
    </row>
    <row r="58" spans="2:25" ht="14" x14ac:dyDescent="0.15">
      <c r="B58" s="6" t="s">
        <v>31</v>
      </c>
      <c r="C58" s="22"/>
      <c r="D58" s="22"/>
      <c r="E58" s="22"/>
      <c r="F58" s="22"/>
      <c r="G58" s="22"/>
      <c r="H58" s="22"/>
      <c r="I58" s="22">
        <f t="shared" ref="I58:I62" si="5">I30-C30</f>
        <v>40943</v>
      </c>
      <c r="J58" s="22">
        <f t="shared" si="4"/>
        <v>36879</v>
      </c>
      <c r="K58" s="22">
        <f t="shared" si="4"/>
        <v>39801</v>
      </c>
      <c r="L58" s="22">
        <f t="shared" si="4"/>
        <v>37609</v>
      </c>
      <c r="M58" s="22">
        <f t="shared" si="4"/>
        <v>30649</v>
      </c>
      <c r="N58" s="22">
        <f t="shared" si="4"/>
        <v>39780</v>
      </c>
    </row>
    <row r="59" spans="2:25" ht="14" x14ac:dyDescent="0.15">
      <c r="B59" s="6" t="s">
        <v>32</v>
      </c>
      <c r="C59" s="22"/>
      <c r="D59" s="22"/>
      <c r="E59" s="22"/>
      <c r="F59" s="22"/>
      <c r="G59" s="22"/>
      <c r="H59" s="22"/>
      <c r="I59" s="22">
        <f t="shared" si="5"/>
        <v>57738</v>
      </c>
      <c r="J59" s="22">
        <f t="shared" si="4"/>
        <v>51275</v>
      </c>
      <c r="K59" s="22">
        <f t="shared" si="4"/>
        <v>48593</v>
      </c>
      <c r="L59" s="22">
        <f t="shared" si="4"/>
        <v>47552</v>
      </c>
      <c r="M59" s="22">
        <f t="shared" si="4"/>
        <v>54402</v>
      </c>
      <c r="N59" s="22">
        <f t="shared" si="4"/>
        <v>49759</v>
      </c>
    </row>
    <row r="60" spans="2:25" ht="14" x14ac:dyDescent="0.15">
      <c r="B60" s="6" t="s">
        <v>33</v>
      </c>
      <c r="C60" s="22"/>
      <c r="D60" s="22"/>
      <c r="E60" s="22"/>
      <c r="F60" s="22"/>
      <c r="G60" s="22"/>
      <c r="H60" s="22"/>
      <c r="I60" s="22">
        <f t="shared" si="5"/>
        <v>32201</v>
      </c>
      <c r="J60" s="22">
        <f t="shared" si="4"/>
        <v>39936</v>
      </c>
      <c r="K60" s="22">
        <f t="shared" si="4"/>
        <v>29699</v>
      </c>
      <c r="L60" s="22">
        <f t="shared" si="4"/>
        <v>33024</v>
      </c>
      <c r="M60" s="22">
        <f t="shared" si="4"/>
        <v>29351</v>
      </c>
      <c r="N60" s="22">
        <f t="shared" si="4"/>
        <v>31818</v>
      </c>
    </row>
    <row r="61" spans="2:25" ht="14" x14ac:dyDescent="0.15">
      <c r="B61" s="6" t="s">
        <v>34</v>
      </c>
      <c r="C61" s="22"/>
      <c r="D61" s="22"/>
      <c r="E61" s="22"/>
      <c r="F61" s="22"/>
      <c r="G61" s="22"/>
      <c r="H61" s="22"/>
      <c r="I61" s="22">
        <f t="shared" si="5"/>
        <v>4014</v>
      </c>
      <c r="J61" s="22">
        <f t="shared" si="4"/>
        <v>3794</v>
      </c>
      <c r="K61" s="22">
        <f t="shared" si="4"/>
        <v>4119</v>
      </c>
      <c r="L61" s="22">
        <f t="shared" si="4"/>
        <v>3817</v>
      </c>
      <c r="M61" s="22">
        <f t="shared" si="4"/>
        <v>4157</v>
      </c>
      <c r="N61" s="22">
        <f t="shared" si="4"/>
        <v>4231</v>
      </c>
    </row>
    <row r="62" spans="2:25" ht="14" x14ac:dyDescent="0.15">
      <c r="B62" s="6" t="s">
        <v>35</v>
      </c>
      <c r="C62" s="22"/>
      <c r="D62" s="22"/>
      <c r="E62" s="22"/>
      <c r="F62" s="22"/>
      <c r="G62" s="22"/>
      <c r="H62" s="22"/>
      <c r="I62" s="22">
        <f t="shared" si="5"/>
        <v>4790</v>
      </c>
      <c r="J62" s="22">
        <f t="shared" si="4"/>
        <v>4373</v>
      </c>
      <c r="K62" s="22">
        <f t="shared" si="4"/>
        <v>4683</v>
      </c>
      <c r="L62" s="22">
        <f t="shared" si="4"/>
        <v>4151</v>
      </c>
      <c r="M62" s="22">
        <f t="shared" si="4"/>
        <v>3611</v>
      </c>
      <c r="N62" s="22">
        <f t="shared" si="4"/>
        <v>5036</v>
      </c>
    </row>
    <row r="63" spans="2:25" ht="14" x14ac:dyDescent="0.15">
      <c r="B63" s="6" t="s">
        <v>36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2:25" ht="14" x14ac:dyDescent="0.15">
      <c r="B64" s="6" t="s">
        <v>37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6" spans="2:14" ht="28" x14ac:dyDescent="0.15">
      <c r="B66" s="20" t="s">
        <v>47</v>
      </c>
    </row>
    <row r="67" spans="2:14" ht="28" x14ac:dyDescent="0.15">
      <c r="B67" s="5" t="s">
        <v>48</v>
      </c>
      <c r="C67" s="22"/>
      <c r="D67" s="22"/>
      <c r="E67" s="22"/>
      <c r="F67" s="22"/>
      <c r="G67" s="22"/>
      <c r="H67" s="22"/>
      <c r="I67" s="22">
        <f>(I57-3436.8)/8214.3</f>
        <v>4.9874243696967486</v>
      </c>
      <c r="J67" s="22">
        <f t="shared" ref="J67:N67" si="6">(J57-3436.8)/8214.3</f>
        <v>5.6540666885796718</v>
      </c>
      <c r="K67" s="22">
        <f t="shared" si="6"/>
        <v>4.8694593574619871</v>
      </c>
      <c r="L67" s="22">
        <f t="shared" si="6"/>
        <v>4.8457202683125766</v>
      </c>
      <c r="M67" s="22">
        <f t="shared" si="6"/>
        <v>5.5146756266510844</v>
      </c>
      <c r="N67" s="22">
        <f t="shared" si="6"/>
        <v>4.7781551684257941</v>
      </c>
    </row>
    <row r="68" spans="2:14" ht="14" x14ac:dyDescent="0.15">
      <c r="B68" s="6" t="s">
        <v>31</v>
      </c>
      <c r="C68" s="22"/>
      <c r="D68" s="22"/>
      <c r="E68" s="22"/>
      <c r="F68" s="22"/>
      <c r="G68" s="22"/>
      <c r="H68" s="22"/>
      <c r="I68" s="22">
        <f t="shared" ref="I68:N68" si="7">(I58-3436.8)/8214.3</f>
        <v>4.5659642331056816</v>
      </c>
      <c r="J68" s="22">
        <f t="shared" si="7"/>
        <v>4.0712172674482305</v>
      </c>
      <c r="K68" s="22">
        <f t="shared" si="7"/>
        <v>4.4269383879332382</v>
      </c>
      <c r="L68" s="22">
        <f t="shared" si="7"/>
        <v>4.1600866781101251</v>
      </c>
      <c r="M68" s="22">
        <f t="shared" si="7"/>
        <v>3.3127838038542547</v>
      </c>
      <c r="N68" s="22">
        <f t="shared" si="7"/>
        <v>4.4243818706402251</v>
      </c>
    </row>
    <row r="69" spans="2:14" ht="14" x14ac:dyDescent="0.15">
      <c r="B69" s="6" t="s">
        <v>32</v>
      </c>
      <c r="C69" s="22"/>
      <c r="D69" s="22"/>
      <c r="E69" s="22"/>
      <c r="F69" s="22"/>
      <c r="G69" s="22"/>
      <c r="H69" s="22"/>
      <c r="I69" s="22">
        <f t="shared" ref="I69:N69" si="8">(I59-3436.8)/8214.3</f>
        <v>6.6105693729228303</v>
      </c>
      <c r="J69" s="22">
        <f t="shared" si="8"/>
        <v>5.8237707412682767</v>
      </c>
      <c r="K69" s="22">
        <f t="shared" si="8"/>
        <v>5.4972669612748497</v>
      </c>
      <c r="L69" s="22">
        <f t="shared" si="8"/>
        <v>5.370536746892614</v>
      </c>
      <c r="M69" s="22">
        <f t="shared" si="8"/>
        <v>6.2044483400898436</v>
      </c>
      <c r="N69" s="22">
        <f t="shared" si="8"/>
        <v>5.6392145404964511</v>
      </c>
    </row>
    <row r="70" spans="2:14" ht="14" x14ac:dyDescent="0.15">
      <c r="B70" s="6" t="s">
        <v>33</v>
      </c>
      <c r="C70" s="22"/>
      <c r="D70" s="22"/>
      <c r="E70" s="22"/>
      <c r="F70" s="22"/>
      <c r="G70" s="22"/>
      <c r="H70" s="22"/>
      <c r="I70" s="22">
        <f t="shared" ref="I70:N70" si="9">(I60-3436.8)/8214.3</f>
        <v>3.5017226056998165</v>
      </c>
      <c r="J70" s="22">
        <f t="shared" si="9"/>
        <v>4.4433731419597535</v>
      </c>
      <c r="K70" s="22">
        <f t="shared" si="9"/>
        <v>3.1971318310750769</v>
      </c>
      <c r="L70" s="22">
        <f t="shared" si="9"/>
        <v>3.6019137358021989</v>
      </c>
      <c r="M70" s="22">
        <f t="shared" si="9"/>
        <v>3.1547666873622831</v>
      </c>
      <c r="N70" s="22">
        <f t="shared" si="9"/>
        <v>3.4550965998320007</v>
      </c>
    </row>
    <row r="71" spans="2:14" ht="14" x14ac:dyDescent="0.15">
      <c r="B71" s="6" t="s">
        <v>34</v>
      </c>
      <c r="C71" s="22"/>
      <c r="D71" s="22"/>
      <c r="E71" s="22"/>
      <c r="F71" s="22"/>
      <c r="G71" s="22"/>
      <c r="H71" s="22"/>
      <c r="I71" s="22">
        <f t="shared" ref="I71:N71" si="10">(I61-3436.8)/8214.3</f>
        <v>7.0267703882254104E-2</v>
      </c>
      <c r="J71" s="22">
        <f t="shared" si="10"/>
        <v>4.3485141764970828E-2</v>
      </c>
      <c r="K71" s="22">
        <f t="shared" si="10"/>
        <v>8.3050290347321115E-2</v>
      </c>
      <c r="L71" s="22">
        <f t="shared" si="10"/>
        <v>4.6285136895414074E-2</v>
      </c>
      <c r="M71" s="22">
        <f t="shared" si="10"/>
        <v>8.7676369258488235E-2</v>
      </c>
      <c r="N71" s="22">
        <f t="shared" si="10"/>
        <v>9.6685049243392607E-2</v>
      </c>
    </row>
    <row r="72" spans="2:14" ht="14" x14ac:dyDescent="0.15">
      <c r="B72" s="6" t="s">
        <v>35</v>
      </c>
      <c r="C72" s="22"/>
      <c r="D72" s="22"/>
      <c r="E72" s="22"/>
      <c r="F72" s="22"/>
      <c r="G72" s="22"/>
      <c r="H72" s="22"/>
      <c r="I72" s="22">
        <f t="shared" ref="I72:N72" si="11">(I62-3436.8)/8214.3</f>
        <v>0.16473710480503512</v>
      </c>
      <c r="J72" s="22">
        <f t="shared" si="11"/>
        <v>0.11397197570091182</v>
      </c>
      <c r="K72" s="22">
        <f t="shared" si="11"/>
        <v>0.15171104050253825</v>
      </c>
      <c r="L72" s="22">
        <f t="shared" si="11"/>
        <v>8.6945935746198688E-2</v>
      </c>
      <c r="M72" s="22">
        <f t="shared" si="11"/>
        <v>2.1206919640139738E-2</v>
      </c>
      <c r="N72" s="22">
        <f t="shared" si="11"/>
        <v>0.19468487880890642</v>
      </c>
    </row>
    <row r="73" spans="2:14" ht="14" x14ac:dyDescent="0.15">
      <c r="B73" s="6" t="s">
        <v>36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2:14" ht="14" x14ac:dyDescent="0.15">
      <c r="B74" s="6" t="s">
        <v>37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7" spans="2:14" ht="28" x14ac:dyDescent="0.15">
      <c r="B77" s="20" t="s">
        <v>49</v>
      </c>
    </row>
    <row r="78" spans="2:14" ht="28" x14ac:dyDescent="0.15">
      <c r="B78" s="5" t="s">
        <v>50</v>
      </c>
      <c r="C78" s="22"/>
      <c r="D78" s="22"/>
      <c r="E78" s="22"/>
      <c r="F78" s="22"/>
      <c r="G78" s="22"/>
      <c r="H78" s="22"/>
      <c r="I78" s="22">
        <f>(I67/25)*1000</f>
        <v>199.49697478786996</v>
      </c>
      <c r="J78" s="22">
        <f t="shared" ref="J78:N78" si="12">(J67/25)*1000</f>
        <v>226.16266754318687</v>
      </c>
      <c r="K78" s="22">
        <f t="shared" si="12"/>
        <v>194.77837429847949</v>
      </c>
      <c r="L78" s="22">
        <f t="shared" si="12"/>
        <v>193.82881073250309</v>
      </c>
      <c r="M78" s="22">
        <f t="shared" si="12"/>
        <v>220.5870250660434</v>
      </c>
      <c r="N78" s="22">
        <f t="shared" si="12"/>
        <v>191.12620673703177</v>
      </c>
    </row>
    <row r="79" spans="2:14" ht="14" x14ac:dyDescent="0.15">
      <c r="B79" s="6" t="s">
        <v>31</v>
      </c>
      <c r="C79" s="22"/>
      <c r="D79" s="22"/>
      <c r="E79" s="22"/>
      <c r="F79" s="22"/>
      <c r="G79" s="22"/>
      <c r="H79" s="22"/>
      <c r="I79" s="22">
        <f t="shared" ref="I79:N79" si="13">(I68/25)*1000</f>
        <v>182.63856932422726</v>
      </c>
      <c r="J79" s="22">
        <f t="shared" si="13"/>
        <v>162.84869069792924</v>
      </c>
      <c r="K79" s="22">
        <f t="shared" si="13"/>
        <v>177.07753551732952</v>
      </c>
      <c r="L79" s="22">
        <f t="shared" si="13"/>
        <v>166.40346712440501</v>
      </c>
      <c r="M79" s="22">
        <f t="shared" si="13"/>
        <v>132.5113521541702</v>
      </c>
      <c r="N79" s="22">
        <f t="shared" si="13"/>
        <v>176.97527482560901</v>
      </c>
    </row>
    <row r="80" spans="2:14" ht="14" x14ac:dyDescent="0.15">
      <c r="B80" s="6" t="s">
        <v>32</v>
      </c>
      <c r="C80" s="22"/>
      <c r="D80" s="22"/>
      <c r="E80" s="22"/>
      <c r="F80" s="22"/>
      <c r="G80" s="22"/>
      <c r="H80" s="22"/>
      <c r="I80" s="22">
        <f t="shared" ref="I80:N80" si="14">(I69/25)*1000</f>
        <v>264.42277491691323</v>
      </c>
      <c r="J80" s="22">
        <f t="shared" si="14"/>
        <v>232.95082965073107</v>
      </c>
      <c r="K80" s="22">
        <f t="shared" si="14"/>
        <v>219.89067845099399</v>
      </c>
      <c r="L80" s="22">
        <f t="shared" si="14"/>
        <v>214.82146987570457</v>
      </c>
      <c r="M80" s="22">
        <f t="shared" si="14"/>
        <v>248.17793360359374</v>
      </c>
      <c r="N80" s="22">
        <f t="shared" si="14"/>
        <v>225.56858161985804</v>
      </c>
    </row>
    <row r="81" spans="2:22" ht="14" x14ac:dyDescent="0.15">
      <c r="B81" s="6" t="s">
        <v>33</v>
      </c>
      <c r="C81" s="22"/>
      <c r="D81" s="22"/>
      <c r="E81" s="22"/>
      <c r="F81" s="22"/>
      <c r="G81" s="22"/>
      <c r="H81" s="22"/>
      <c r="I81" s="22">
        <f t="shared" ref="I81:N81" si="15">(I70/25)*1000</f>
        <v>140.06890422799268</v>
      </c>
      <c r="J81" s="22">
        <f t="shared" si="15"/>
        <v>177.73492567839014</v>
      </c>
      <c r="K81" s="22">
        <f t="shared" si="15"/>
        <v>127.88527324300308</v>
      </c>
      <c r="L81" s="22">
        <f t="shared" si="15"/>
        <v>144.07654943208794</v>
      </c>
      <c r="M81" s="22">
        <f t="shared" si="15"/>
        <v>126.19066749449132</v>
      </c>
      <c r="N81" s="22">
        <f t="shared" si="15"/>
        <v>138.20386399328004</v>
      </c>
    </row>
    <row r="82" spans="2:22" ht="14" x14ac:dyDescent="0.15">
      <c r="B82" s="6" t="s">
        <v>34</v>
      </c>
      <c r="C82" s="22"/>
      <c r="D82" s="22"/>
      <c r="E82" s="22"/>
      <c r="F82" s="22"/>
      <c r="G82" s="22"/>
      <c r="H82" s="22"/>
      <c r="I82" s="22">
        <f t="shared" ref="I82:N82" si="16">(I71/25)*1000</f>
        <v>2.8107081552901643</v>
      </c>
      <c r="J82" s="22">
        <f t="shared" si="16"/>
        <v>1.739405670598833</v>
      </c>
      <c r="K82" s="22">
        <f t="shared" si="16"/>
        <v>3.3220116138928448</v>
      </c>
      <c r="L82" s="22">
        <f t="shared" si="16"/>
        <v>1.851405475816563</v>
      </c>
      <c r="M82" s="22">
        <f t="shared" si="16"/>
        <v>3.5070547703395296</v>
      </c>
      <c r="N82" s="22">
        <f t="shared" si="16"/>
        <v>3.8674019697357043</v>
      </c>
    </row>
    <row r="83" spans="2:22" ht="14" x14ac:dyDescent="0.15">
      <c r="B83" s="6" t="s">
        <v>35</v>
      </c>
      <c r="C83" s="22"/>
      <c r="D83" s="22"/>
      <c r="E83" s="22"/>
      <c r="F83" s="22"/>
      <c r="G83" s="22"/>
      <c r="H83" s="22"/>
      <c r="I83" s="22">
        <f t="shared" ref="I83:N83" si="17">(I72/25)*1000</f>
        <v>6.5894841922014047</v>
      </c>
      <c r="J83" s="22">
        <f t="shared" si="17"/>
        <v>4.5588790280364728</v>
      </c>
      <c r="K83" s="22">
        <f t="shared" si="17"/>
        <v>6.0684416201015301</v>
      </c>
      <c r="L83" s="22">
        <f t="shared" si="17"/>
        <v>3.4778374298479475</v>
      </c>
      <c r="M83" s="22">
        <f t="shared" si="17"/>
        <v>0.8482767856055895</v>
      </c>
      <c r="N83" s="22">
        <f t="shared" si="17"/>
        <v>7.7873951523562566</v>
      </c>
    </row>
    <row r="84" spans="2:22" ht="14" x14ac:dyDescent="0.15">
      <c r="B84" s="6" t="s">
        <v>36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2:22" ht="14" x14ac:dyDescent="0.15">
      <c r="B85" s="6" t="s">
        <v>37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8" spans="2:22" ht="28" x14ac:dyDescent="0.15">
      <c r="B88" s="20" t="s">
        <v>51</v>
      </c>
      <c r="O88" t="s">
        <v>55</v>
      </c>
      <c r="P88" t="s">
        <v>56</v>
      </c>
    </row>
    <row r="89" spans="2:22" ht="28" x14ac:dyDescent="0.15">
      <c r="B89" s="5" t="s">
        <v>52</v>
      </c>
      <c r="C89" s="23"/>
      <c r="D89" s="22"/>
      <c r="E89" s="22"/>
      <c r="F89" s="22"/>
      <c r="G89" s="22"/>
      <c r="H89" s="18" t="s">
        <v>38</v>
      </c>
      <c r="I89" s="22">
        <f>I78/100</f>
        <v>1.9949697478786996</v>
      </c>
      <c r="J89" s="22">
        <f t="shared" ref="J89:N89" si="18">J78/100</f>
        <v>2.2616266754318688</v>
      </c>
      <c r="K89" s="22">
        <f t="shared" si="18"/>
        <v>1.9477837429847948</v>
      </c>
      <c r="L89" s="22">
        <f t="shared" si="18"/>
        <v>1.9382881073250309</v>
      </c>
      <c r="M89" s="22">
        <f t="shared" si="18"/>
        <v>2.2058702506604337</v>
      </c>
      <c r="N89" s="22">
        <f t="shared" si="18"/>
        <v>1.9112620673703176</v>
      </c>
      <c r="O89" s="24">
        <f>AVERAGE(I89:N89)</f>
        <v>2.0433000986085244</v>
      </c>
      <c r="P89" s="24">
        <f>STDEVA(I89:N89)</f>
        <v>0.15100748689086477</v>
      </c>
    </row>
    <row r="90" spans="2:22" ht="14" x14ac:dyDescent="0.15">
      <c r="B90" s="6" t="s">
        <v>31</v>
      </c>
      <c r="C90" s="22"/>
      <c r="D90" s="22"/>
      <c r="E90" s="22"/>
      <c r="F90" s="22"/>
      <c r="G90" s="22"/>
      <c r="H90" s="18">
        <v>0</v>
      </c>
      <c r="I90" s="22">
        <f t="shared" ref="I90:N94" si="19">I79/100</f>
        <v>1.8263856932422726</v>
      </c>
      <c r="J90" s="22">
        <f t="shared" si="19"/>
        <v>1.6284869069792924</v>
      </c>
      <c r="K90" s="22">
        <f t="shared" si="19"/>
        <v>1.7707753551732952</v>
      </c>
      <c r="L90" s="22">
        <f t="shared" si="19"/>
        <v>1.6640346712440501</v>
      </c>
      <c r="M90" s="22">
        <f t="shared" si="19"/>
        <v>1.325113521541702</v>
      </c>
      <c r="N90" s="22">
        <f t="shared" si="19"/>
        <v>1.76975274825609</v>
      </c>
      <c r="O90" s="24">
        <f t="shared" ref="O90:O94" si="20">AVERAGE(I90:N90)</f>
        <v>1.6640914827394504</v>
      </c>
      <c r="P90" s="24">
        <f t="shared" ref="P90:P94" si="21">STDEVA(I90:N90)</f>
        <v>0.18169144704756032</v>
      </c>
      <c r="S90">
        <v>1.8263856932422726</v>
      </c>
      <c r="T90">
        <v>1.9949697478786996</v>
      </c>
      <c r="U90">
        <v>1.4006890422799267</v>
      </c>
      <c r="V90">
        <v>2.6442277491691324</v>
      </c>
    </row>
    <row r="91" spans="2:22" ht="14" x14ac:dyDescent="0.15">
      <c r="B91" s="6" t="s">
        <v>32</v>
      </c>
      <c r="C91" s="22"/>
      <c r="D91" s="22"/>
      <c r="E91" s="22"/>
      <c r="F91" s="22"/>
      <c r="G91" s="22"/>
      <c r="H91" s="18" t="s">
        <v>39</v>
      </c>
      <c r="I91" s="22">
        <f t="shared" si="19"/>
        <v>2.6442277491691324</v>
      </c>
      <c r="J91" s="22">
        <f t="shared" si="19"/>
        <v>2.3295082965073108</v>
      </c>
      <c r="K91" s="22">
        <f t="shared" si="19"/>
        <v>2.1989067845099397</v>
      </c>
      <c r="L91" s="22">
        <f t="shared" si="19"/>
        <v>2.1482146987570458</v>
      </c>
      <c r="M91" s="22">
        <f t="shared" si="19"/>
        <v>2.4817793360359373</v>
      </c>
      <c r="N91" s="22">
        <f t="shared" si="19"/>
        <v>2.2556858161985804</v>
      </c>
      <c r="O91" s="24">
        <f t="shared" si="20"/>
        <v>2.3430537801963243</v>
      </c>
      <c r="P91" s="24">
        <f t="shared" si="21"/>
        <v>0.18788709626413216</v>
      </c>
      <c r="S91">
        <v>1.6284869069792924</v>
      </c>
      <c r="T91">
        <v>2.2616266754318688</v>
      </c>
      <c r="U91">
        <v>1.7773492567839013</v>
      </c>
      <c r="V91">
        <v>2.3295082965073108</v>
      </c>
    </row>
    <row r="92" spans="2:22" ht="14" x14ac:dyDescent="0.15">
      <c r="B92" s="6" t="s">
        <v>33</v>
      </c>
      <c r="C92" s="22"/>
      <c r="D92" s="22"/>
      <c r="E92" s="22"/>
      <c r="F92" s="22"/>
      <c r="G92" s="22"/>
      <c r="H92" s="18" t="s">
        <v>40</v>
      </c>
      <c r="I92" s="22">
        <f t="shared" si="19"/>
        <v>1.4006890422799267</v>
      </c>
      <c r="J92" s="22">
        <f t="shared" si="19"/>
        <v>1.7773492567839013</v>
      </c>
      <c r="K92" s="22">
        <f t="shared" si="19"/>
        <v>1.2788527324300309</v>
      </c>
      <c r="L92" s="22">
        <f t="shared" si="19"/>
        <v>1.4407654943208794</v>
      </c>
      <c r="M92" s="22">
        <f t="shared" si="19"/>
        <v>1.2619066749449133</v>
      </c>
      <c r="N92" s="22">
        <f t="shared" si="19"/>
        <v>1.3820386399328004</v>
      </c>
      <c r="O92" s="24">
        <f t="shared" si="20"/>
        <v>1.4236003067820751</v>
      </c>
      <c r="P92" s="24">
        <f t="shared" si="21"/>
        <v>0.18696628163415543</v>
      </c>
      <c r="S92">
        <v>1.7707753551732952</v>
      </c>
      <c r="T92">
        <v>1.9477837429847948</v>
      </c>
      <c r="U92">
        <v>1.2788527324300309</v>
      </c>
      <c r="V92">
        <v>2.1989067845099397</v>
      </c>
    </row>
    <row r="93" spans="2:22" ht="28" x14ac:dyDescent="0.15">
      <c r="B93" s="6" t="s">
        <v>34</v>
      </c>
      <c r="C93" s="22"/>
      <c r="D93" s="22"/>
      <c r="E93" s="22"/>
      <c r="F93" s="22"/>
      <c r="G93" s="22"/>
      <c r="H93" s="18" t="s">
        <v>53</v>
      </c>
      <c r="I93" s="22">
        <f t="shared" si="19"/>
        <v>2.8107081552901644E-2</v>
      </c>
      <c r="J93" s="22">
        <f t="shared" si="19"/>
        <v>1.7394056705988328E-2</v>
      </c>
      <c r="K93" s="22">
        <f t="shared" si="19"/>
        <v>3.3220116138928446E-2</v>
      </c>
      <c r="L93" s="22">
        <f t="shared" si="19"/>
        <v>1.851405475816563E-2</v>
      </c>
      <c r="M93" s="22">
        <f t="shared" si="19"/>
        <v>3.5070547703395294E-2</v>
      </c>
      <c r="N93" s="22">
        <f t="shared" si="19"/>
        <v>3.8674019697357044E-2</v>
      </c>
      <c r="O93" s="24">
        <f t="shared" si="20"/>
        <v>2.8496646092789398E-2</v>
      </c>
      <c r="P93" s="24">
        <f t="shared" si="21"/>
        <v>8.8563837600501641E-3</v>
      </c>
      <c r="S93">
        <v>1.6640346712440501</v>
      </c>
      <c r="T93">
        <v>1.9382881073250309</v>
      </c>
      <c r="U93">
        <v>1.4407654943208794</v>
      </c>
      <c r="V93">
        <v>2.1482146987570458</v>
      </c>
    </row>
    <row r="94" spans="2:22" ht="28" x14ac:dyDescent="0.15">
      <c r="B94" s="6" t="s">
        <v>35</v>
      </c>
      <c r="C94" s="22"/>
      <c r="D94" s="22"/>
      <c r="E94" s="22"/>
      <c r="F94" s="22"/>
      <c r="G94" s="22"/>
      <c r="H94" s="18" t="s">
        <v>54</v>
      </c>
      <c r="I94" s="22">
        <f t="shared" si="19"/>
        <v>6.5894841922014044E-2</v>
      </c>
      <c r="J94" s="22">
        <f t="shared" si="19"/>
        <v>4.5588790280364729E-2</v>
      </c>
      <c r="K94" s="22">
        <f t="shared" si="19"/>
        <v>6.06844162010153E-2</v>
      </c>
      <c r="L94" s="22">
        <f t="shared" si="19"/>
        <v>3.4778374298479478E-2</v>
      </c>
      <c r="M94" s="22">
        <f t="shared" si="19"/>
        <v>8.482767856055895E-3</v>
      </c>
      <c r="N94" s="22">
        <f t="shared" si="19"/>
        <v>7.7873951523562565E-2</v>
      </c>
      <c r="O94" s="24">
        <f t="shared" si="20"/>
        <v>4.8883857013582006E-2</v>
      </c>
      <c r="P94" s="24">
        <f t="shared" si="21"/>
        <v>2.4944428223174015E-2</v>
      </c>
      <c r="S94">
        <v>1.325113521541702</v>
      </c>
      <c r="T94">
        <v>2.2058702506604337</v>
      </c>
      <c r="U94">
        <v>1.2619066749449133</v>
      </c>
      <c r="V94">
        <v>2.4817793360359373</v>
      </c>
    </row>
    <row r="95" spans="2:22" ht="14" x14ac:dyDescent="0.15">
      <c r="B95" s="6" t="s">
        <v>36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S95">
        <v>1.76975274825609</v>
      </c>
      <c r="T95">
        <v>1.9112620673703176</v>
      </c>
      <c r="U95">
        <v>1.3820386399328004</v>
      </c>
      <c r="V95">
        <v>2.2556858161985804</v>
      </c>
    </row>
    <row r="96" spans="2:22" ht="14" x14ac:dyDescent="0.15">
      <c r="B96" s="6" t="s">
        <v>37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9" spans="3:5" x14ac:dyDescent="0.15">
      <c r="D99" t="s">
        <v>55</v>
      </c>
      <c r="E99" t="s">
        <v>56</v>
      </c>
    </row>
    <row r="100" spans="3:5" x14ac:dyDescent="0.15">
      <c r="C100">
        <v>0</v>
      </c>
      <c r="D100">
        <v>1.7695985456257179</v>
      </c>
      <c r="E100">
        <v>5.6918235751459233E-2</v>
      </c>
    </row>
    <row r="101" spans="3:5" x14ac:dyDescent="0.15">
      <c r="C101" t="s">
        <v>38</v>
      </c>
      <c r="D101">
        <v>1.8890974682362869</v>
      </c>
      <c r="E101">
        <v>5.6650133769269084E-2</v>
      </c>
    </row>
    <row r="102" spans="3:5" x14ac:dyDescent="0.15">
      <c r="C102" t="s">
        <v>39</v>
      </c>
      <c r="D102">
        <v>2.3430537801963243</v>
      </c>
      <c r="E102">
        <v>0.18788709626413216</v>
      </c>
    </row>
    <row r="103" spans="3:5" x14ac:dyDescent="0.15">
      <c r="C103" t="s">
        <v>40</v>
      </c>
      <c r="D103">
        <v>1.3018613880671515</v>
      </c>
      <c r="E103">
        <v>7.6665833483583953E-2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2011-01-18T20:51:17Z</dcterms:created>
  <dcterms:modified xsi:type="dcterms:W3CDTF">2026-09-21T15:00:42Z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