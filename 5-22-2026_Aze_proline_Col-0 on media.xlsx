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"/>
    </mc:Choice>
  </mc:AlternateContent>
  <xr:revisionPtr revIDLastSave="19" documentId="8_{054B07ED-6DB9-4B8C-8784-D00DCC0E8FA6}" xr6:coauthVersionLast="47" xr6:coauthVersionMax="47" xr10:uidLastSave="{ED7F47AD-0E6B-9544-852F-C82CA9A11C7E}"/>
  <bookViews>
    <workbookView xWindow="0" yWindow="600" windowWidth="22620" windowHeight="13500" xr2:uid="{4C9600D1-ACE9-4E1A-91E3-CC990EBF7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6" i="1" l="1"/>
  <c r="O76" i="1"/>
  <c r="T76" i="1"/>
  <c r="S76" i="1"/>
  <c r="R76" i="1"/>
  <c r="Q76" i="1"/>
  <c r="D77" i="1"/>
  <c r="E77" i="1"/>
  <c r="F77" i="1"/>
  <c r="G77" i="1"/>
  <c r="H77" i="1"/>
  <c r="C77" i="1"/>
  <c r="D76" i="1"/>
  <c r="E76" i="1"/>
  <c r="F76" i="1"/>
  <c r="G76" i="1"/>
  <c r="H76" i="1"/>
  <c r="I76" i="1"/>
  <c r="J76" i="1"/>
  <c r="K76" i="1"/>
  <c r="L76" i="1"/>
  <c r="M76" i="1"/>
  <c r="N76" i="1"/>
  <c r="C76" i="1"/>
  <c r="D65" i="1"/>
  <c r="E65" i="1"/>
  <c r="F65" i="1"/>
  <c r="G65" i="1"/>
  <c r="H65" i="1"/>
  <c r="D66" i="1"/>
  <c r="E66" i="1"/>
  <c r="F66" i="1"/>
  <c r="G66" i="1"/>
  <c r="H66" i="1"/>
  <c r="C66" i="1"/>
  <c r="I65" i="1"/>
  <c r="J65" i="1"/>
  <c r="K65" i="1"/>
  <c r="L65" i="1"/>
  <c r="M65" i="1"/>
  <c r="N65" i="1"/>
  <c r="C65" i="1"/>
  <c r="D55" i="1"/>
  <c r="E55" i="1"/>
  <c r="F55" i="1"/>
  <c r="G55" i="1"/>
  <c r="H55" i="1"/>
  <c r="D56" i="1"/>
  <c r="E56" i="1"/>
  <c r="F56" i="1"/>
  <c r="G56" i="1"/>
  <c r="H56" i="1"/>
  <c r="C56" i="1"/>
  <c r="I55" i="1"/>
  <c r="J55" i="1"/>
  <c r="K55" i="1"/>
  <c r="L55" i="1"/>
  <c r="M55" i="1"/>
  <c r="N55" i="1"/>
  <c r="C55" i="1"/>
  <c r="D43" i="1"/>
  <c r="E43" i="1"/>
  <c r="F43" i="1"/>
  <c r="G43" i="1"/>
  <c r="H43" i="1"/>
  <c r="D44" i="1"/>
  <c r="E44" i="1"/>
  <c r="F44" i="1"/>
  <c r="G44" i="1"/>
  <c r="H44" i="1"/>
  <c r="C44" i="1"/>
  <c r="I43" i="1"/>
  <c r="J43" i="1"/>
  <c r="K43" i="1"/>
  <c r="L43" i="1"/>
  <c r="M43" i="1"/>
  <c r="N43" i="1"/>
  <c r="C43" i="1"/>
  <c r="D32" i="1"/>
  <c r="E32" i="1"/>
  <c r="F32" i="1"/>
  <c r="G32" i="1"/>
  <c r="H32" i="1"/>
  <c r="I32" i="1"/>
  <c r="D33" i="1"/>
  <c r="E33" i="1"/>
  <c r="F33" i="1"/>
  <c r="G33" i="1"/>
  <c r="H33" i="1"/>
  <c r="C33" i="1"/>
  <c r="J32" i="1"/>
  <c r="K32" i="1"/>
  <c r="L32" i="1"/>
  <c r="M32" i="1"/>
  <c r="N32" i="1"/>
  <c r="C32" i="1"/>
  <c r="D27" i="1"/>
  <c r="E27" i="1"/>
  <c r="F27" i="1"/>
  <c r="G27" i="1"/>
  <c r="H27" i="1"/>
  <c r="I27" i="1"/>
  <c r="J27" i="1"/>
  <c r="K27" i="1"/>
  <c r="L27" i="1"/>
  <c r="C27" i="1"/>
  <c r="D26" i="1"/>
  <c r="E26" i="1"/>
  <c r="F26" i="1"/>
  <c r="G26" i="1"/>
  <c r="H26" i="1"/>
  <c r="I26" i="1"/>
  <c r="J26" i="1"/>
  <c r="K26" i="1"/>
  <c r="L26" i="1"/>
  <c r="C26" i="1"/>
  <c r="E24" i="1"/>
  <c r="F24" i="1"/>
  <c r="G24" i="1"/>
  <c r="H24" i="1"/>
  <c r="I24" i="1"/>
  <c r="J24" i="1"/>
  <c r="K24" i="1"/>
  <c r="L24" i="1"/>
  <c r="D24" i="1"/>
  <c r="C24" i="1"/>
  <c r="C23" i="1"/>
</calcChain>
</file>

<file path=xl/sharedStrings.xml><?xml version="1.0" encoding="utf-8"?>
<sst xmlns="http://schemas.openxmlformats.org/spreadsheetml/2006/main" count="120" uniqueCount="35">
  <si>
    <t>A</t>
  </si>
  <si>
    <t>B</t>
  </si>
  <si>
    <t>C</t>
  </si>
  <si>
    <t>D</t>
  </si>
  <si>
    <t>E</t>
  </si>
  <si>
    <t>F</t>
  </si>
  <si>
    <t>G</t>
  </si>
  <si>
    <t>H</t>
  </si>
  <si>
    <t>HRP + RB</t>
  </si>
  <si>
    <t>S</t>
  </si>
  <si>
    <t>AR + HRP + RB</t>
  </si>
  <si>
    <t>AR + RB</t>
  </si>
  <si>
    <t>0 Aze</t>
  </si>
  <si>
    <t>100 Aze</t>
  </si>
  <si>
    <t>A+P</t>
  </si>
  <si>
    <t>mean A</t>
  </si>
  <si>
    <t>mean H2O2</t>
  </si>
  <si>
    <t>mean H2O2 - A</t>
  </si>
  <si>
    <t>(mean H2O2 - A - mean H2O2 of 0</t>
  </si>
  <si>
    <t>y = 3474.4x + 298.7</t>
  </si>
  <si>
    <t>x = (y - 298.7) / 3474.4</t>
  </si>
  <si>
    <t>S-C</t>
  </si>
  <si>
    <t>sample was 25ul</t>
  </si>
  <si>
    <t>H2O2 uM in 25ul</t>
  </si>
  <si>
    <t>Total vol was 500ul</t>
  </si>
  <si>
    <t>H2O2 uM in 500ul</t>
  </si>
  <si>
    <t>H2O2 uM in 200ul of extration</t>
  </si>
  <si>
    <t>I took 100ul from the extraction and volume up to 500ul</t>
  </si>
  <si>
    <t>Total extraction vol was 500ul</t>
  </si>
  <si>
    <t>H2O2 uM in 1mg</t>
  </si>
  <si>
    <t>Total weight was 200mg</t>
  </si>
  <si>
    <t>Average</t>
  </si>
  <si>
    <t>Std</t>
  </si>
  <si>
    <t>100 A + 1000P</t>
  </si>
  <si>
    <t>100 A + 1000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</si>
</sst>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8" borderId="2" xfId="0" applyFill="1" applyBorder="1"/>
    <xf numFmtId="0" fontId="2" fillId="8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</a:t>
            </a:r>
            <a:r>
              <a:rPr lang="en-US" baseline="0"/>
              <a:t>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Sheet1!$N$25:$W$25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</c:numCache>
            </c:numRef>
          </c:xVal>
          <c:yVal>
            <c:numRef>
              <c:f>Sheet1!$N$26:$W$26</c:f>
              <c:numCache>
                <c:formatCode>General</c:formatCode>
                <c:ptCount val="10"/>
                <c:pt idx="0">
                  <c:v>0</c:v>
                </c:pt>
                <c:pt idx="1">
                  <c:v>-690.5</c:v>
                </c:pt>
                <c:pt idx="2">
                  <c:v>-44.5</c:v>
                </c:pt>
                <c:pt idx="3">
                  <c:v>1779</c:v>
                </c:pt>
                <c:pt idx="4">
                  <c:v>3442</c:v>
                </c:pt>
                <c:pt idx="5">
                  <c:v>7054.5</c:v>
                </c:pt>
                <c:pt idx="6">
                  <c:v>19876</c:v>
                </c:pt>
                <c:pt idx="7">
                  <c:v>37519</c:v>
                </c:pt>
                <c:pt idx="8">
                  <c:v>54428</c:v>
                </c:pt>
                <c:pt idx="9">
                  <c:v>66547.5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1-4916-B2C9-CC9BD087A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13023"/>
        <c:axId val="1438702799"/>
      </c:scatterChart>
      <c:valAx>
        <c:axId val="151291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02799"/>
        <c:crosses val="autoZero"/>
        <c:crossBetween val="midCat"/>
      </c:valAx>
      <c:valAx>
        <c:axId val="14387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1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Sheet1!$R$76:$T$76</c:f>
                <c:numCache>
                  <c:formatCode>General</c:formatCode>
                  <c:ptCount val="3"/>
                  <c:pt idx="0">
                    <c:v>0.65869971843172526</c:v>
                  </c:pt>
                  <c:pt idx="1">
                    <c:v>0.35967349687828565</c:v>
                  </c:pt>
                  <c:pt idx="2">
                    <c:v>0.55352547005888386</c:v>
                  </c:pt>
                </c:numCache>
              </c:numRef>
            </c:plus>
            <c:minus>
              <c:numRef>
                <c:f>Sheet1!$R$76:$T$76</c:f>
                <c:numCache>
                  <c:formatCode>General</c:formatCode>
                  <c:ptCount val="3"/>
                  <c:pt idx="0">
                    <c:v>0.65869971843172526</c:v>
                  </c:pt>
                  <c:pt idx="1">
                    <c:v>0.35967349687828565</c:v>
                  </c:pt>
                  <c:pt idx="2">
                    <c:v>0.55352547005888386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Sheet1!$O$75:$Q$75</c:f>
              <c:strCache>
                <c:ptCount val="3"/>
                <c:pt idx="0">
                  <c:v>0 Aze</c:v>
                </c:pt>
                <c:pt idx="1">
                  <c:v>100 Aze</c:v>
                </c:pt>
                <c:pt idx="2">
                  <c:v>100 A + 1000 P</c:v>
                </c:pt>
              </c:strCache>
            </c:strRef>
          </c:cat>
          <c:val>
            <c:numRef>
              <c:f>Sheet1!$O$76:$Q$76</c:f>
              <c:numCache>
                <c:formatCode>General</c:formatCode>
                <c:ptCount val="3"/>
                <c:pt idx="0">
                  <c:v>3.0036457134085501</c:v>
                </c:pt>
                <c:pt idx="1">
                  <c:v>4.4423233747793383</c:v>
                </c:pt>
                <c:pt idx="2">
                  <c:v>3.4469956443318757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D-4317-B1B6-8932A18BF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92607"/>
        <c:axId val="1438780079"/>
      </c:barChart>
      <c:catAx>
        <c:axId val="151289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80079"/>
        <c:crosses val="autoZero"/>
        <c:auto val="1"/>
        <c:lblAlgn val="ctr"/>
        <c:lblOffset val="100"/>
        <c:noMultiLvlLbl val="0"/>
      </c:catAx>
      <c:valAx>
        <c:axId val="14387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9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384175</xdr:colOff>
      <xdr:row>26</xdr:row>
      <xdr:rowOff>177800</xdr:rowOff>
    </xdr:from>
    <xdr:to>
      <xdr:col>22</xdr:col>
      <xdr:colOff>79375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0272C-3FC7-F24D-D397-3F9FC8A1A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102152</xdr:colOff>
      <xdr:row>78</xdr:row>
      <xdr:rowOff>22639</xdr:rowOff>
    </xdr:from>
    <xdr:to>
      <xdr:col>19</xdr:col>
      <xdr:colOff>257680</xdr:colOff>
      <xdr:row>93</xdr:row>
      <xdr:rowOff>4970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6C521-FD5F-8B4F-1B3F-A61EE93AC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71A0-A199-4373-A892-46FABF13449A}">
  <dimension ref="A2:W81"/>
  <sheetViews>
    <sheetView tabSelected="1" topLeftCell="A63" zoomScale="69" workbookViewId="0">
      <selection activeCell="U85" sqref="U85"/>
    </sheetView>
  </sheetViews>
  <sheetFormatPr baseColWidth="10" defaultColWidth="8.83203125" defaultRowHeight="15" x14ac:dyDescent="0.2"/>
  <cols>
    <col min="1" max="2" width="12.33203125" customWidth="1"/>
    <col min="3" max="3" width="12.1640625" bestFit="1" customWidth="1"/>
    <col min="15" max="16" width="12.1640625" bestFit="1" customWidth="1"/>
    <col min="17" max="17" width="13.33203125" customWidth="1"/>
    <col min="20" max="20" width="12.5" customWidth="1"/>
    <col min="21" max="21" width="10" customWidth="1"/>
  </cols>
  <sheetData>
    <row r="2" spans="2:17" x14ac:dyDescent="0.2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7" x14ac:dyDescent="0.2">
      <c r="B3" s="2" t="s">
        <v>0</v>
      </c>
      <c r="C3" s="10">
        <v>50</v>
      </c>
      <c r="D3" s="10">
        <v>32</v>
      </c>
      <c r="E3" s="10">
        <v>38</v>
      </c>
      <c r="F3" s="10">
        <v>21</v>
      </c>
      <c r="G3" s="10">
        <v>18</v>
      </c>
      <c r="H3" s="10">
        <v>18</v>
      </c>
      <c r="I3" s="10">
        <v>46</v>
      </c>
      <c r="J3" s="10">
        <v>12</v>
      </c>
      <c r="K3" s="10">
        <v>34</v>
      </c>
      <c r="L3" s="10">
        <v>7</v>
      </c>
      <c r="M3" s="10">
        <v>72</v>
      </c>
      <c r="N3" s="10">
        <v>27</v>
      </c>
      <c r="O3" s="3">
        <v>540590</v>
      </c>
    </row>
    <row r="4" spans="2:17" x14ac:dyDescent="0.2">
      <c r="B4" s="2" t="s">
        <v>1</v>
      </c>
      <c r="C4" s="10">
        <v>0</v>
      </c>
      <c r="D4" s="10">
        <v>19</v>
      </c>
      <c r="E4" s="10">
        <v>0</v>
      </c>
      <c r="F4" s="10">
        <v>33</v>
      </c>
      <c r="G4" s="10">
        <v>60</v>
      </c>
      <c r="H4" s="10">
        <v>29</v>
      </c>
      <c r="I4" s="10"/>
      <c r="J4" s="10"/>
      <c r="K4" s="10"/>
      <c r="L4" s="10"/>
      <c r="M4" s="10"/>
      <c r="N4" s="10"/>
      <c r="O4" s="3">
        <v>540590</v>
      </c>
    </row>
    <row r="5" spans="2:17" x14ac:dyDescent="0.2">
      <c r="B5" s="2" t="s">
        <v>2</v>
      </c>
      <c r="C5" s="10">
        <v>35491</v>
      </c>
      <c r="D5" s="10">
        <v>55165</v>
      </c>
      <c r="E5" s="10">
        <v>37637</v>
      </c>
      <c r="F5" s="10">
        <v>52424</v>
      </c>
      <c r="G5" s="10">
        <v>35805</v>
      </c>
      <c r="H5" s="10">
        <v>35908</v>
      </c>
      <c r="I5" s="10">
        <v>65938</v>
      </c>
      <c r="J5" s="10">
        <v>54378</v>
      </c>
      <c r="K5" s="10">
        <v>63338</v>
      </c>
      <c r="L5" s="10">
        <v>58309</v>
      </c>
      <c r="M5" s="10">
        <v>68073</v>
      </c>
      <c r="N5" s="10">
        <v>62380</v>
      </c>
      <c r="O5" s="3">
        <v>540590</v>
      </c>
    </row>
    <row r="6" spans="2:17" x14ac:dyDescent="0.2">
      <c r="B6" s="2" t="s">
        <v>3</v>
      </c>
      <c r="C6" s="10">
        <v>61164</v>
      </c>
      <c r="D6" s="10">
        <v>40301</v>
      </c>
      <c r="E6" s="10">
        <v>45065</v>
      </c>
      <c r="F6" s="10">
        <v>51794</v>
      </c>
      <c r="G6" s="10">
        <v>41809</v>
      </c>
      <c r="H6" s="10">
        <v>49230</v>
      </c>
      <c r="I6" s="10"/>
      <c r="J6" s="10"/>
      <c r="K6" s="10"/>
      <c r="L6" s="10"/>
      <c r="M6" s="10"/>
      <c r="N6" s="10"/>
      <c r="O6" s="3">
        <v>540590</v>
      </c>
    </row>
    <row r="7" spans="2:17" x14ac:dyDescent="0.2">
      <c r="B7" s="2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">
        <v>540590</v>
      </c>
    </row>
    <row r="8" spans="2:17" x14ac:dyDescent="0.2">
      <c r="B8" s="2" t="s">
        <v>5</v>
      </c>
      <c r="C8" s="10">
        <v>2442</v>
      </c>
      <c r="D8" s="10">
        <v>2262</v>
      </c>
      <c r="E8" s="10">
        <v>2837</v>
      </c>
      <c r="F8" s="10">
        <v>4276</v>
      </c>
      <c r="G8" s="10">
        <v>6515</v>
      </c>
      <c r="H8" s="10">
        <v>10178</v>
      </c>
      <c r="I8" s="10">
        <v>23050</v>
      </c>
      <c r="J8" s="10">
        <v>41008</v>
      </c>
      <c r="K8" s="10">
        <v>59219</v>
      </c>
      <c r="L8" s="10">
        <v>71915</v>
      </c>
      <c r="M8" s="10">
        <v>414</v>
      </c>
      <c r="N8" s="10">
        <v>502</v>
      </c>
      <c r="O8" s="3">
        <v>540590</v>
      </c>
    </row>
    <row r="9" spans="2:17" x14ac:dyDescent="0.2">
      <c r="B9" s="2" t="s">
        <v>6</v>
      </c>
      <c r="C9" s="10">
        <v>3622</v>
      </c>
      <c r="D9" s="10">
        <v>2421</v>
      </c>
      <c r="E9" s="10">
        <v>3138</v>
      </c>
      <c r="F9" s="10">
        <v>5346</v>
      </c>
      <c r="G9" s="10">
        <v>6433</v>
      </c>
      <c r="H9" s="10">
        <v>9995</v>
      </c>
      <c r="I9" s="10">
        <v>22766</v>
      </c>
      <c r="J9" s="10">
        <v>40094</v>
      </c>
      <c r="K9" s="10">
        <v>55701</v>
      </c>
      <c r="L9" s="10">
        <v>67244</v>
      </c>
      <c r="M9" s="10"/>
      <c r="N9" s="10"/>
      <c r="O9" s="3">
        <v>540590</v>
      </c>
    </row>
    <row r="10" spans="2:17" x14ac:dyDescent="0.2">
      <c r="B10" s="2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3">
        <v>540590</v>
      </c>
    </row>
    <row r="13" spans="2:17" x14ac:dyDescent="0.2">
      <c r="B13" s="2" t="s">
        <v>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13</v>
      </c>
      <c r="J13" s="4" t="s">
        <v>13</v>
      </c>
      <c r="K13" s="4" t="s">
        <v>13</v>
      </c>
      <c r="L13" s="4" t="s">
        <v>13</v>
      </c>
      <c r="M13" s="4" t="s">
        <v>13</v>
      </c>
      <c r="N13" s="4" t="s">
        <v>13</v>
      </c>
    </row>
    <row r="14" spans="2:17" x14ac:dyDescent="0.2">
      <c r="B14" s="2" t="s">
        <v>1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14</v>
      </c>
      <c r="H14" s="4" t="s">
        <v>14</v>
      </c>
      <c r="I14" s="10"/>
      <c r="J14" s="10"/>
      <c r="K14" s="10"/>
      <c r="L14" s="10"/>
      <c r="M14" s="10"/>
      <c r="N14" s="10"/>
      <c r="P14" s="5" t="s">
        <v>2</v>
      </c>
      <c r="Q14" t="s">
        <v>8</v>
      </c>
    </row>
    <row r="15" spans="2:17" x14ac:dyDescent="0.2">
      <c r="B15" s="2" t="s">
        <v>2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13</v>
      </c>
      <c r="J15" s="7" t="s">
        <v>13</v>
      </c>
      <c r="K15" s="7" t="s">
        <v>13</v>
      </c>
      <c r="L15" s="7" t="s">
        <v>13</v>
      </c>
      <c r="M15" s="7" t="s">
        <v>13</v>
      </c>
      <c r="N15" s="7" t="s">
        <v>13</v>
      </c>
      <c r="P15" s="6" t="s">
        <v>9</v>
      </c>
      <c r="Q15" t="s">
        <v>10</v>
      </c>
    </row>
    <row r="16" spans="2:17" x14ac:dyDescent="0.2">
      <c r="B16" s="2" t="s">
        <v>3</v>
      </c>
      <c r="C16" s="7" t="s">
        <v>14</v>
      </c>
      <c r="D16" s="7" t="s">
        <v>14</v>
      </c>
      <c r="E16" s="7" t="s">
        <v>14</v>
      </c>
      <c r="F16" s="7" t="s">
        <v>14</v>
      </c>
      <c r="G16" s="7" t="s">
        <v>14</v>
      </c>
      <c r="H16" s="7" t="s">
        <v>14</v>
      </c>
      <c r="I16" s="10"/>
      <c r="J16" s="10"/>
      <c r="K16" s="10"/>
      <c r="L16" s="10"/>
      <c r="M16" s="10"/>
      <c r="N16" s="10"/>
      <c r="P16" s="8" t="s">
        <v>0</v>
      </c>
      <c r="Q16" t="s">
        <v>11</v>
      </c>
    </row>
    <row r="17" spans="2:23" x14ac:dyDescent="0.2">
      <c r="B17" s="2" t="s">
        <v>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23" x14ac:dyDescent="0.2">
      <c r="B18" s="2" t="s">
        <v>5</v>
      </c>
      <c r="C18" s="7">
        <v>0</v>
      </c>
      <c r="D18" s="7">
        <v>0.1</v>
      </c>
      <c r="E18" s="7">
        <v>0.2</v>
      </c>
      <c r="F18" s="7">
        <v>0.5</v>
      </c>
      <c r="G18" s="7">
        <v>1</v>
      </c>
      <c r="H18" s="7">
        <v>2</v>
      </c>
      <c r="I18" s="7">
        <v>5</v>
      </c>
      <c r="J18" s="7">
        <v>10</v>
      </c>
      <c r="K18" s="7">
        <v>15</v>
      </c>
      <c r="L18" s="7">
        <v>20</v>
      </c>
      <c r="M18" s="9" t="s">
        <v>0</v>
      </c>
      <c r="N18" s="9" t="s">
        <v>0</v>
      </c>
    </row>
    <row r="19" spans="2:23" x14ac:dyDescent="0.2">
      <c r="B19" s="2" t="s">
        <v>6</v>
      </c>
      <c r="C19" s="7">
        <v>0</v>
      </c>
      <c r="D19" s="7">
        <v>0.1</v>
      </c>
      <c r="E19" s="7">
        <v>0.2</v>
      </c>
      <c r="F19" s="7">
        <v>0.5</v>
      </c>
      <c r="G19" s="7">
        <v>1</v>
      </c>
      <c r="H19" s="7">
        <v>2</v>
      </c>
      <c r="I19" s="7">
        <v>5</v>
      </c>
      <c r="J19" s="7">
        <v>10</v>
      </c>
      <c r="K19" s="7">
        <v>15</v>
      </c>
      <c r="L19" s="7">
        <v>20</v>
      </c>
      <c r="M19" s="10"/>
      <c r="N19" s="10"/>
    </row>
    <row r="20" spans="2:23" x14ac:dyDescent="0.2">
      <c r="B20" s="2" t="s">
        <v>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3" spans="2:23" x14ac:dyDescent="0.2">
      <c r="B23" s="11" t="s">
        <v>15</v>
      </c>
      <c r="C23">
        <f>AVERAGE(M8:N8)</f>
        <v>458</v>
      </c>
    </row>
    <row r="24" spans="2:23" x14ac:dyDescent="0.2">
      <c r="B24" s="11" t="s">
        <v>16</v>
      </c>
      <c r="C24">
        <f>AVERAGE(C8:C9)</f>
        <v>3032</v>
      </c>
      <c r="D24">
        <f>AVERAGE(D8:D9)</f>
        <v>2341.5</v>
      </c>
      <c r="E24">
        <f t="shared" ref="E24:L24" si="0">AVERAGE(E8:E9)</f>
        <v>2987.5</v>
      </c>
      <c r="F24">
        <f t="shared" si="0"/>
        <v>4811</v>
      </c>
      <c r="G24">
        <f t="shared" si="0"/>
        <v>6474</v>
      </c>
      <c r="H24">
        <f t="shared" si="0"/>
        <v>10086.5</v>
      </c>
      <c r="I24">
        <f t="shared" si="0"/>
        <v>22908</v>
      </c>
      <c r="J24">
        <f t="shared" si="0"/>
        <v>40551</v>
      </c>
      <c r="K24">
        <f t="shared" si="0"/>
        <v>57460</v>
      </c>
      <c r="L24">
        <f t="shared" si="0"/>
        <v>69579.5</v>
      </c>
    </row>
    <row r="25" spans="2:23" x14ac:dyDescent="0.2">
      <c r="N25">
        <v>0</v>
      </c>
      <c r="O25">
        <v>0.1</v>
      </c>
      <c r="P25">
        <v>0.2</v>
      </c>
      <c r="Q25">
        <v>0.5</v>
      </c>
      <c r="R25">
        <v>1</v>
      </c>
      <c r="S25">
        <v>2</v>
      </c>
      <c r="T25">
        <v>5</v>
      </c>
      <c r="U25">
        <v>10</v>
      </c>
      <c r="V25">
        <v>15</v>
      </c>
      <c r="W25">
        <v>20</v>
      </c>
    </row>
    <row r="26" spans="2:23" ht="28" x14ac:dyDescent="0.2">
      <c r="B26" s="11" t="s">
        <v>17</v>
      </c>
      <c r="C26">
        <f>C24-458</f>
        <v>2574</v>
      </c>
      <c r="D26">
        <f t="shared" ref="D26:L26" si="1">D24-458</f>
        <v>1883.5</v>
      </c>
      <c r="E26">
        <f t="shared" si="1"/>
        <v>2529.5</v>
      </c>
      <c r="F26">
        <f t="shared" si="1"/>
        <v>4353</v>
      </c>
      <c r="G26">
        <f t="shared" si="1"/>
        <v>6016</v>
      </c>
      <c r="H26">
        <f t="shared" si="1"/>
        <v>9628.5</v>
      </c>
      <c r="I26">
        <f t="shared" si="1"/>
        <v>22450</v>
      </c>
      <c r="J26">
        <f t="shared" si="1"/>
        <v>40093</v>
      </c>
      <c r="K26">
        <f t="shared" si="1"/>
        <v>57002</v>
      </c>
      <c r="L26">
        <f t="shared" si="1"/>
        <v>69121.5</v>
      </c>
      <c r="N26">
        <v>0</v>
      </c>
      <c r="O26">
        <v>-690.5</v>
      </c>
      <c r="P26">
        <v>-44.5</v>
      </c>
      <c r="Q26">
        <v>1779</v>
      </c>
      <c r="R26">
        <v>3442</v>
      </c>
      <c r="S26">
        <v>7054.5</v>
      </c>
      <c r="T26">
        <v>19876</v>
      </c>
      <c r="U26">
        <v>37519</v>
      </c>
      <c r="V26">
        <v>54428</v>
      </c>
      <c r="W26">
        <v>66547.5</v>
      </c>
    </row>
    <row r="27" spans="2:23" ht="42" x14ac:dyDescent="0.2">
      <c r="B27" s="12" t="s">
        <v>18</v>
      </c>
      <c r="C27">
        <f>C26-2574</f>
        <v>0</v>
      </c>
      <c r="D27">
        <f t="shared" ref="D27:L27" si="2">D26-2574</f>
        <v>-690.5</v>
      </c>
      <c r="E27">
        <f t="shared" si="2"/>
        <v>-44.5</v>
      </c>
      <c r="F27">
        <f t="shared" si="2"/>
        <v>1779</v>
      </c>
      <c r="G27">
        <f t="shared" si="2"/>
        <v>3442</v>
      </c>
      <c r="H27">
        <f t="shared" si="2"/>
        <v>7054.5</v>
      </c>
      <c r="I27">
        <f t="shared" si="2"/>
        <v>19876</v>
      </c>
      <c r="J27">
        <f t="shared" si="2"/>
        <v>37519</v>
      </c>
      <c r="K27">
        <f t="shared" si="2"/>
        <v>54428</v>
      </c>
      <c r="L27">
        <f t="shared" si="2"/>
        <v>66547.5</v>
      </c>
    </row>
    <row r="30" spans="2:23" x14ac:dyDescent="0.2">
      <c r="B30" s="2" t="s">
        <v>21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23" x14ac:dyDescent="0.2">
      <c r="B31" s="2" t="s">
        <v>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23" x14ac:dyDescent="0.2">
      <c r="B32" s="2" t="s">
        <v>2</v>
      </c>
      <c r="C32" s="10">
        <f>C5-C3</f>
        <v>35441</v>
      </c>
      <c r="D32" s="10">
        <f t="shared" ref="D32:I32" si="3">D5-D3</f>
        <v>55133</v>
      </c>
      <c r="E32" s="10">
        <f t="shared" si="3"/>
        <v>37599</v>
      </c>
      <c r="F32" s="10">
        <f t="shared" si="3"/>
        <v>52403</v>
      </c>
      <c r="G32" s="10">
        <f t="shared" si="3"/>
        <v>35787</v>
      </c>
      <c r="H32" s="10">
        <f t="shared" si="3"/>
        <v>35890</v>
      </c>
      <c r="I32" s="10">
        <f t="shared" si="3"/>
        <v>65892</v>
      </c>
      <c r="J32" s="10">
        <f t="shared" ref="J32:N32" si="4">J5-J3</f>
        <v>54366</v>
      </c>
      <c r="K32" s="10">
        <f t="shared" si="4"/>
        <v>63304</v>
      </c>
      <c r="L32" s="10">
        <f t="shared" si="4"/>
        <v>58302</v>
      </c>
      <c r="M32" s="10">
        <f t="shared" si="4"/>
        <v>68001</v>
      </c>
      <c r="N32" s="10">
        <f t="shared" si="4"/>
        <v>62353</v>
      </c>
    </row>
    <row r="33" spans="2:17" x14ac:dyDescent="0.2">
      <c r="B33" s="2" t="s">
        <v>3</v>
      </c>
      <c r="C33" s="10">
        <f>C6-C4</f>
        <v>61164</v>
      </c>
      <c r="D33" s="10">
        <f t="shared" ref="D33:H33" si="5">D6-D4</f>
        <v>40282</v>
      </c>
      <c r="E33" s="10">
        <f t="shared" si="5"/>
        <v>45065</v>
      </c>
      <c r="F33" s="10">
        <f t="shared" si="5"/>
        <v>51761</v>
      </c>
      <c r="G33" s="10">
        <f t="shared" si="5"/>
        <v>41749</v>
      </c>
      <c r="H33" s="10">
        <f t="shared" si="5"/>
        <v>49201</v>
      </c>
      <c r="I33" s="10"/>
      <c r="J33" s="10"/>
      <c r="K33" s="10"/>
      <c r="L33" s="10"/>
      <c r="M33" s="10"/>
      <c r="N33" s="10"/>
    </row>
    <row r="34" spans="2:17" x14ac:dyDescent="0.2">
      <c r="B34" s="2" t="s">
        <v>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7" x14ac:dyDescent="0.2">
      <c r="B35" s="2" t="s">
        <v>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7" x14ac:dyDescent="0.2">
      <c r="B36" s="2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7" x14ac:dyDescent="0.2">
      <c r="B37" s="2" t="s">
        <v>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40" spans="2:17" ht="28" x14ac:dyDescent="0.2">
      <c r="B40" s="11" t="s">
        <v>22</v>
      </c>
    </row>
    <row r="41" spans="2:17" ht="32" x14ac:dyDescent="0.2">
      <c r="B41" s="1" t="s">
        <v>23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Q41" t="s">
        <v>19</v>
      </c>
    </row>
    <row r="42" spans="2:17" x14ac:dyDescent="0.2">
      <c r="B42" s="2" t="s">
        <v>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Q42" t="s">
        <v>20</v>
      </c>
    </row>
    <row r="43" spans="2:17" x14ac:dyDescent="0.2">
      <c r="B43" s="2" t="s">
        <v>2</v>
      </c>
      <c r="C43" s="10">
        <f>(C32-298.7)/3474.4</f>
        <v>10.114638498733594</v>
      </c>
      <c r="D43" s="10">
        <f t="shared" ref="D43:H43" si="6">(D32-298.7)/3474.4</f>
        <v>15.782379691457518</v>
      </c>
      <c r="E43" s="10">
        <f t="shared" si="6"/>
        <v>10.735752935758693</v>
      </c>
      <c r="F43" s="10">
        <f t="shared" si="6"/>
        <v>14.996632512088418</v>
      </c>
      <c r="G43" s="10">
        <f t="shared" si="6"/>
        <v>10.214224038682939</v>
      </c>
      <c r="H43" s="10">
        <f t="shared" si="6"/>
        <v>10.243869445084044</v>
      </c>
      <c r="I43" s="10">
        <f t="shared" ref="I43:N43" si="7">(I32-298.7)/3474.4</f>
        <v>18.879029472714713</v>
      </c>
      <c r="J43" s="10">
        <f t="shared" si="7"/>
        <v>15.561622150587151</v>
      </c>
      <c r="K43" s="10">
        <f t="shared" si="7"/>
        <v>18.134152659451992</v>
      </c>
      <c r="L43" s="10">
        <f t="shared" si="7"/>
        <v>16.694479622380843</v>
      </c>
      <c r="M43" s="10">
        <f t="shared" si="7"/>
        <v>19.486040755238314</v>
      </c>
      <c r="N43" s="10">
        <f t="shared" si="7"/>
        <v>17.860436334331109</v>
      </c>
    </row>
    <row r="44" spans="2:17" x14ac:dyDescent="0.2">
      <c r="B44" s="2" t="s">
        <v>3</v>
      </c>
      <c r="C44" s="10">
        <f>(C33-298.7)/3474.4</f>
        <v>17.518218973060097</v>
      </c>
      <c r="D44" s="10">
        <f t="shared" ref="D44:H44" si="8">(D33-298.7)/3474.4</f>
        <v>11.507972599585541</v>
      </c>
      <c r="E44" s="10">
        <f t="shared" si="8"/>
        <v>12.884613170619389</v>
      </c>
      <c r="F44" s="10">
        <f t="shared" si="8"/>
        <v>14.81185240617085</v>
      </c>
      <c r="G44" s="10">
        <f t="shared" si="8"/>
        <v>11.930203776191574</v>
      </c>
      <c r="H44" s="10">
        <f t="shared" si="8"/>
        <v>14.075034538337555</v>
      </c>
      <c r="I44" s="10"/>
      <c r="J44" s="10"/>
      <c r="K44" s="10"/>
      <c r="L44" s="10"/>
      <c r="M44" s="10"/>
      <c r="N44" s="10"/>
    </row>
    <row r="45" spans="2:17" x14ac:dyDescent="0.2">
      <c r="B45" s="2" t="s">
        <v>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7" x14ac:dyDescent="0.2">
      <c r="B46" s="2" t="s">
        <v>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7" x14ac:dyDescent="0.2">
      <c r="B47" s="2" t="s">
        <v>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7" x14ac:dyDescent="0.2">
      <c r="B48" s="2" t="s">
        <v>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51" spans="1:14" ht="28" x14ac:dyDescent="0.2">
      <c r="B51" s="11" t="s">
        <v>24</v>
      </c>
    </row>
    <row r="52" spans="1:14" ht="48" x14ac:dyDescent="0.2">
      <c r="A52" s="13" t="s">
        <v>26</v>
      </c>
      <c r="B52" s="1" t="s">
        <v>25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">
      <c r="B53" s="2" t="s">
        <v>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">
      <c r="B54" s="2" t="s">
        <v>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">
      <c r="B55" s="2" t="s">
        <v>3</v>
      </c>
      <c r="C55" s="10">
        <f>(C43/25)*500</f>
        <v>202.29276997467187</v>
      </c>
      <c r="D55" s="10">
        <f t="shared" ref="D55:H55" si="9">(D43/25)*500</f>
        <v>315.64759382915037</v>
      </c>
      <c r="E55" s="10">
        <f t="shared" si="9"/>
        <v>214.71505871517388</v>
      </c>
      <c r="F55" s="10">
        <f t="shared" si="9"/>
        <v>299.93265024176833</v>
      </c>
      <c r="G55" s="10">
        <f t="shared" si="9"/>
        <v>204.2844807736588</v>
      </c>
      <c r="H55" s="10">
        <f t="shared" si="9"/>
        <v>204.87738890168089</v>
      </c>
      <c r="I55" s="10">
        <f t="shared" ref="I55:N55" si="10">(I43/25)*500</f>
        <v>377.58058945429423</v>
      </c>
      <c r="J55" s="10">
        <f t="shared" si="10"/>
        <v>311.23244301174304</v>
      </c>
      <c r="K55" s="10">
        <f t="shared" si="10"/>
        <v>362.68305318903981</v>
      </c>
      <c r="L55" s="10">
        <f t="shared" si="10"/>
        <v>333.88959244761685</v>
      </c>
      <c r="M55" s="10">
        <f t="shared" si="10"/>
        <v>389.72081510476625</v>
      </c>
      <c r="N55" s="10">
        <f t="shared" si="10"/>
        <v>357.20872668662219</v>
      </c>
    </row>
    <row r="56" spans="1:14" x14ac:dyDescent="0.2">
      <c r="B56" s="2" t="s">
        <v>4</v>
      </c>
      <c r="C56" s="10">
        <f>(C44/25)*500</f>
        <v>350.36437946120196</v>
      </c>
      <c r="D56" s="10">
        <f t="shared" ref="D56:H56" si="11">(D44/25)*500</f>
        <v>230.15945199171082</v>
      </c>
      <c r="E56" s="10">
        <f t="shared" si="11"/>
        <v>257.69226341238777</v>
      </c>
      <c r="F56" s="10">
        <f t="shared" si="11"/>
        <v>296.23704812341703</v>
      </c>
      <c r="G56" s="10">
        <f t="shared" si="11"/>
        <v>238.60407552383148</v>
      </c>
      <c r="H56" s="10">
        <f t="shared" si="11"/>
        <v>281.50069076675112</v>
      </c>
      <c r="I56" s="10"/>
      <c r="J56" s="10"/>
      <c r="K56" s="10"/>
      <c r="L56" s="10"/>
      <c r="M56" s="10"/>
      <c r="N56" s="10"/>
    </row>
    <row r="57" spans="1:14" x14ac:dyDescent="0.2">
      <c r="B57" s="2" t="s">
        <v>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">
      <c r="B58" s="2" t="s"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">
      <c r="B59" s="2" t="s">
        <v>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2" spans="1:14" ht="70" x14ac:dyDescent="0.2">
      <c r="B62" s="11" t="s">
        <v>27</v>
      </c>
      <c r="C62" s="13" t="s">
        <v>28</v>
      </c>
    </row>
    <row r="63" spans="1:14" ht="32" x14ac:dyDescent="0.2">
      <c r="B63" s="1" t="s">
        <v>25</v>
      </c>
      <c r="C63" s="1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">
      <c r="B64" s="2" t="s">
        <v>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2:22" x14ac:dyDescent="0.2">
      <c r="B65" s="2" t="s">
        <v>2</v>
      </c>
      <c r="C65" s="10">
        <f>(C55/2)*5</f>
        <v>505.73192493667966</v>
      </c>
      <c r="D65" s="10">
        <f t="shared" ref="D65:H65" si="12">(D55/2)*5</f>
        <v>789.11898457287589</v>
      </c>
      <c r="E65" s="10">
        <f t="shared" si="12"/>
        <v>536.7876467879347</v>
      </c>
      <c r="F65" s="10">
        <f t="shared" si="12"/>
        <v>749.83162560442088</v>
      </c>
      <c r="G65" s="10">
        <f t="shared" si="12"/>
        <v>510.71120193414697</v>
      </c>
      <c r="H65" s="10">
        <f t="shared" si="12"/>
        <v>512.19347225420222</v>
      </c>
      <c r="I65" s="10">
        <f t="shared" ref="I65:N65" si="13">(I55/2)*5</f>
        <v>943.95147363573551</v>
      </c>
      <c r="J65" s="10">
        <f t="shared" si="13"/>
        <v>778.08110752935761</v>
      </c>
      <c r="K65" s="10">
        <f t="shared" si="13"/>
        <v>906.70763297259953</v>
      </c>
      <c r="L65" s="10">
        <f t="shared" si="13"/>
        <v>834.72398111904215</v>
      </c>
      <c r="M65" s="10">
        <f t="shared" si="13"/>
        <v>974.30203776191559</v>
      </c>
      <c r="N65" s="10">
        <f t="shared" si="13"/>
        <v>893.02181671655546</v>
      </c>
    </row>
    <row r="66" spans="2:22" x14ac:dyDescent="0.2">
      <c r="B66" s="2" t="s">
        <v>3</v>
      </c>
      <c r="C66" s="10">
        <f>(C56/2)*5</f>
        <v>875.91094865300488</v>
      </c>
      <c r="D66" s="10">
        <f t="shared" ref="D66:H66" si="14">(D56/2)*5</f>
        <v>575.39862997927708</v>
      </c>
      <c r="E66" s="10">
        <f t="shared" si="14"/>
        <v>644.23065853096944</v>
      </c>
      <c r="F66" s="10">
        <f t="shared" si="14"/>
        <v>740.59262030854256</v>
      </c>
      <c r="G66" s="10">
        <f t="shared" si="14"/>
        <v>596.51018880957872</v>
      </c>
      <c r="H66" s="10">
        <f t="shared" si="14"/>
        <v>703.75172691687783</v>
      </c>
      <c r="I66" s="10"/>
      <c r="J66" s="10"/>
      <c r="K66" s="10"/>
      <c r="L66" s="10"/>
      <c r="M66" s="10"/>
      <c r="N66" s="10"/>
    </row>
    <row r="67" spans="2:22" x14ac:dyDescent="0.2">
      <c r="B67" s="2" t="s">
        <v>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2:22" x14ac:dyDescent="0.2">
      <c r="B68" s="2" t="s">
        <v>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2:22" x14ac:dyDescent="0.2">
      <c r="B69" s="2" t="s">
        <v>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22" x14ac:dyDescent="0.2">
      <c r="B70" s="2" t="s">
        <v>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3" spans="2:22" ht="28" x14ac:dyDescent="0.2">
      <c r="B73" s="11" t="s">
        <v>30</v>
      </c>
    </row>
    <row r="74" spans="2:22" ht="32" x14ac:dyDescent="0.25">
      <c r="B74" s="1" t="s">
        <v>29</v>
      </c>
      <c r="C74" s="1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5"/>
      <c r="O74" s="18" t="s">
        <v>31</v>
      </c>
      <c r="P74" s="18"/>
      <c r="Q74" s="18"/>
      <c r="R74" s="19" t="s">
        <v>32</v>
      </c>
      <c r="S74" s="19"/>
      <c r="T74" s="19"/>
      <c r="U74" s="20"/>
      <c r="V74" s="21"/>
    </row>
    <row r="75" spans="2:22" x14ac:dyDescent="0.2">
      <c r="B75" s="2" t="s"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5"/>
      <c r="O75" s="16" t="s">
        <v>12</v>
      </c>
      <c r="P75" s="16" t="s">
        <v>13</v>
      </c>
      <c r="Q75" s="16" t="s">
        <v>34</v>
      </c>
      <c r="R75" t="s">
        <v>12</v>
      </c>
      <c r="S75" t="s">
        <v>13</v>
      </c>
      <c r="T75" t="s">
        <v>33</v>
      </c>
      <c r="U75" s="21"/>
      <c r="V75" s="21"/>
    </row>
    <row r="76" spans="2:22" x14ac:dyDescent="0.2">
      <c r="B76" s="2" t="s">
        <v>2</v>
      </c>
      <c r="C76" s="10">
        <f>C65/200</f>
        <v>2.5286596246833981</v>
      </c>
      <c r="D76" s="10">
        <f t="shared" ref="D76:N76" si="15">D65/200</f>
        <v>3.9455949228643794</v>
      </c>
      <c r="E76" s="10">
        <f t="shared" si="15"/>
        <v>2.6839382339396733</v>
      </c>
      <c r="F76" s="10">
        <f t="shared" si="15"/>
        <v>3.7491581280221045</v>
      </c>
      <c r="G76" s="10">
        <f t="shared" si="15"/>
        <v>2.5535560096707348</v>
      </c>
      <c r="H76" s="10">
        <f t="shared" si="15"/>
        <v>2.5609673612710111</v>
      </c>
      <c r="I76" s="10">
        <f t="shared" si="15"/>
        <v>4.7197573681786773</v>
      </c>
      <c r="J76" s="10">
        <f t="shared" si="15"/>
        <v>3.8904055376467879</v>
      </c>
      <c r="K76" s="10">
        <f t="shared" si="15"/>
        <v>4.533538164862998</v>
      </c>
      <c r="L76" s="10">
        <f t="shared" si="15"/>
        <v>4.1736199055952108</v>
      </c>
      <c r="M76" s="10">
        <f t="shared" si="15"/>
        <v>4.8715101888095775</v>
      </c>
      <c r="N76" s="15">
        <f t="shared" si="15"/>
        <v>4.4651090835827771</v>
      </c>
      <c r="O76" s="17">
        <f>AVERAGE(C76:H76)</f>
        <v>3.0036457134085501</v>
      </c>
      <c r="P76" s="17">
        <f>AVERAGE(I76:N76)</f>
        <v>4.4423233747793383</v>
      </c>
      <c r="Q76" s="16">
        <f>AVERAGE(C77:H77)</f>
        <v>3.4469956443318757</v>
      </c>
      <c r="R76">
        <f>STDEVA(C76:H76)</f>
        <v>0.65869971843172526</v>
      </c>
      <c r="S76">
        <f>STDEVA(I76:N76)</f>
        <v>0.35967349687828565</v>
      </c>
      <c r="T76">
        <f>STDEVA(C77:H77)</f>
        <v>0.55352547005888386</v>
      </c>
      <c r="U76" s="21"/>
      <c r="V76" s="21"/>
    </row>
    <row r="77" spans="2:22" x14ac:dyDescent="0.2">
      <c r="B77" s="2" t="s">
        <v>3</v>
      </c>
      <c r="C77" s="10">
        <f>C66/200</f>
        <v>4.3795547432650244</v>
      </c>
      <c r="D77" s="10">
        <f t="shared" ref="D77:H77" si="16">D66/200</f>
        <v>2.8769931498963852</v>
      </c>
      <c r="E77" s="10">
        <f t="shared" si="16"/>
        <v>3.2211532926548472</v>
      </c>
      <c r="F77" s="10">
        <f t="shared" si="16"/>
        <v>3.7029631015427129</v>
      </c>
      <c r="G77" s="10">
        <f t="shared" si="16"/>
        <v>2.9825509440478934</v>
      </c>
      <c r="H77" s="10">
        <f t="shared" si="16"/>
        <v>3.5187586345843891</v>
      </c>
      <c r="I77" s="10"/>
      <c r="J77" s="10"/>
      <c r="K77" s="10"/>
      <c r="L77" s="10"/>
      <c r="M77" s="10"/>
      <c r="N77" s="10"/>
      <c r="U77" s="21"/>
      <c r="V77" s="21"/>
    </row>
    <row r="78" spans="2:22" x14ac:dyDescent="0.2">
      <c r="B78" s="2" t="s">
        <v>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2:22" x14ac:dyDescent="0.2">
      <c r="B79" s="2" t="s">
        <v>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2:22" x14ac:dyDescent="0.2">
      <c r="B80" s="2" t="s">
        <v>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14" x14ac:dyDescent="0.2">
      <c r="B81" s="2" t="s">
        <v>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</sheetData>
  <mergeCells count="2">
    <mergeCell ref="O74:Q74"/>
    <mergeCell ref="R74:T74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2026-05-25T16:29:49Z</dcterms:created>
  <dcterms:modified xsi:type="dcterms:W3CDTF">2026-09-25T20:03:05Z</dcterms:modified>
</cp:coreProperties>
</file>