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cas28y_umsystem_edu/Documents/Writing/Papers/Aze phentypic response_Asha/data for ANOVA tests/"/>
    </mc:Choice>
  </mc:AlternateContent>
  <xr:revisionPtr revIDLastSave="6" documentId="13_ncr:1_{18CA3E83-E850-4F92-B819-78A422E12342}" xr6:coauthVersionLast="47" xr6:coauthVersionMax="47" xr10:uidLastSave="{9EC20D44-9280-9E47-ABCE-58CD46347189}"/>
  <bookViews>
    <workbookView xWindow="0" yWindow="600" windowWidth="22620" windowHeight="13500" xr2:uid="{28348F8F-F085-4670-9AC0-AC2B00EE3439}"/>
  </bookViews>
  <sheets>
    <sheet name="Plate 1 - Sheet1" sheetId="1" r:id="rId1"/>
  </sheets>
  <definedNames>
    <definedName name="MethodPointer1">500131344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1" l="1"/>
  <c r="G138" i="1"/>
  <c r="G132" i="1"/>
  <c r="G126" i="1"/>
  <c r="G120" i="1"/>
  <c r="F138" i="1"/>
  <c r="F132" i="1"/>
  <c r="F126" i="1"/>
  <c r="F120" i="1"/>
  <c r="F114" i="1"/>
  <c r="E138" i="1"/>
  <c r="E132" i="1"/>
  <c r="E126" i="1"/>
  <c r="E120" i="1"/>
  <c r="E114" i="1"/>
  <c r="I70" i="1"/>
  <c r="I80" i="1" s="1"/>
  <c r="I91" i="1" s="1"/>
  <c r="I101" i="1" s="1"/>
  <c r="E71" i="1"/>
  <c r="E81" i="1" s="1"/>
  <c r="E92" i="1" s="1"/>
  <c r="E102" i="1" s="1"/>
  <c r="F71" i="1"/>
  <c r="F81" i="1" s="1"/>
  <c r="F92" i="1" s="1"/>
  <c r="F102" i="1" s="1"/>
  <c r="E69" i="1"/>
  <c r="E79" i="1" s="1"/>
  <c r="E90" i="1" s="1"/>
  <c r="E100" i="1" s="1"/>
  <c r="N69" i="1"/>
  <c r="N79" i="1" s="1"/>
  <c r="N90" i="1" s="1"/>
  <c r="N100" i="1" s="1"/>
  <c r="C69" i="1"/>
  <c r="C90" i="1" s="1"/>
  <c r="C100" i="1" s="1"/>
  <c r="E60" i="1"/>
  <c r="E70" i="1" s="1"/>
  <c r="E80" i="1" s="1"/>
  <c r="E91" i="1" s="1"/>
  <c r="E101" i="1" s="1"/>
  <c r="F60" i="1"/>
  <c r="F70" i="1" s="1"/>
  <c r="F80" i="1" s="1"/>
  <c r="F91" i="1" s="1"/>
  <c r="F101" i="1" s="1"/>
  <c r="G60" i="1"/>
  <c r="G70" i="1" s="1"/>
  <c r="G80" i="1" s="1"/>
  <c r="G91" i="1" s="1"/>
  <c r="G101" i="1" s="1"/>
  <c r="H60" i="1"/>
  <c r="H70" i="1" s="1"/>
  <c r="H80" i="1" s="1"/>
  <c r="H91" i="1" s="1"/>
  <c r="H101" i="1" s="1"/>
  <c r="I60" i="1"/>
  <c r="E61" i="1"/>
  <c r="F61" i="1"/>
  <c r="G61" i="1"/>
  <c r="G71" i="1" s="1"/>
  <c r="G81" i="1" s="1"/>
  <c r="G92" i="1" s="1"/>
  <c r="G102" i="1" s="1"/>
  <c r="H61" i="1"/>
  <c r="H71" i="1" s="1"/>
  <c r="H81" i="1" s="1"/>
  <c r="H92" i="1" s="1"/>
  <c r="H102" i="1" s="1"/>
  <c r="I61" i="1"/>
  <c r="I71" i="1" s="1"/>
  <c r="I81" i="1" s="1"/>
  <c r="I92" i="1" s="1"/>
  <c r="I102" i="1" s="1"/>
  <c r="D61" i="1"/>
  <c r="D71" i="1" s="1"/>
  <c r="D81" i="1" s="1"/>
  <c r="D92" i="1" s="1"/>
  <c r="D102" i="1" s="1"/>
  <c r="C60" i="1"/>
  <c r="C70" i="1" s="1"/>
  <c r="C80" i="1" s="1"/>
  <c r="C91" i="1" s="1"/>
  <c r="C101" i="1" s="1"/>
  <c r="D60" i="1"/>
  <c r="D70" i="1" s="1"/>
  <c r="D80" i="1" s="1"/>
  <c r="D91" i="1" s="1"/>
  <c r="D101" i="1" s="1"/>
  <c r="J60" i="1"/>
  <c r="J70" i="1" s="1"/>
  <c r="J80" i="1" s="1"/>
  <c r="J91" i="1" s="1"/>
  <c r="J101" i="1" s="1"/>
  <c r="K60" i="1"/>
  <c r="K70" i="1" s="1"/>
  <c r="K80" i="1" s="1"/>
  <c r="K91" i="1" s="1"/>
  <c r="K101" i="1" s="1"/>
  <c r="L60" i="1"/>
  <c r="L70" i="1" s="1"/>
  <c r="L80" i="1" s="1"/>
  <c r="L91" i="1" s="1"/>
  <c r="L101" i="1" s="1"/>
  <c r="M60" i="1"/>
  <c r="M70" i="1" s="1"/>
  <c r="M80" i="1" s="1"/>
  <c r="M91" i="1" s="1"/>
  <c r="M101" i="1" s="1"/>
  <c r="N60" i="1"/>
  <c r="N70" i="1" s="1"/>
  <c r="N80" i="1" s="1"/>
  <c r="N91" i="1" s="1"/>
  <c r="N101" i="1" s="1"/>
  <c r="D59" i="1"/>
  <c r="D69" i="1" s="1"/>
  <c r="D79" i="1" s="1"/>
  <c r="D90" i="1" s="1"/>
  <c r="D100" i="1" s="1"/>
  <c r="E59" i="1"/>
  <c r="F59" i="1"/>
  <c r="F69" i="1" s="1"/>
  <c r="F79" i="1" s="1"/>
  <c r="F90" i="1" s="1"/>
  <c r="F100" i="1" s="1"/>
  <c r="G59" i="1"/>
  <c r="G69" i="1" s="1"/>
  <c r="G79" i="1" s="1"/>
  <c r="G90" i="1" s="1"/>
  <c r="G100" i="1" s="1"/>
  <c r="H59" i="1"/>
  <c r="H69" i="1" s="1"/>
  <c r="H79" i="1" s="1"/>
  <c r="H90" i="1" s="1"/>
  <c r="H100" i="1" s="1"/>
  <c r="I59" i="1"/>
  <c r="I69" i="1" s="1"/>
  <c r="I79" i="1" s="1"/>
  <c r="I90" i="1" s="1"/>
  <c r="I100" i="1" s="1"/>
  <c r="J59" i="1"/>
  <c r="J69" i="1" s="1"/>
  <c r="J79" i="1" s="1"/>
  <c r="J90" i="1" s="1"/>
  <c r="J100" i="1" s="1"/>
  <c r="K59" i="1"/>
  <c r="K69" i="1" s="1"/>
  <c r="K79" i="1" s="1"/>
  <c r="K90" i="1" s="1"/>
  <c r="K100" i="1" s="1"/>
  <c r="L59" i="1"/>
  <c r="L69" i="1" s="1"/>
  <c r="L79" i="1" s="1"/>
  <c r="L90" i="1" s="1"/>
  <c r="L100" i="1" s="1"/>
  <c r="M59" i="1"/>
  <c r="M69" i="1" s="1"/>
  <c r="M79" i="1" s="1"/>
  <c r="M90" i="1" s="1"/>
  <c r="M100" i="1" s="1"/>
  <c r="N59" i="1"/>
  <c r="C59" i="1"/>
  <c r="D52" i="1"/>
  <c r="D53" i="1" s="1"/>
  <c r="D50" i="1"/>
  <c r="E50" i="1"/>
  <c r="E52" i="1" s="1"/>
  <c r="E53" i="1" s="1"/>
  <c r="F50" i="1"/>
  <c r="F52" i="1" s="1"/>
  <c r="F53" i="1" s="1"/>
  <c r="G50" i="1"/>
  <c r="G52" i="1" s="1"/>
  <c r="G53" i="1" s="1"/>
  <c r="H50" i="1"/>
  <c r="H52" i="1" s="1"/>
  <c r="H53" i="1" s="1"/>
  <c r="I50" i="1"/>
  <c r="I52" i="1" s="1"/>
  <c r="I53" i="1" s="1"/>
  <c r="J50" i="1"/>
  <c r="J52" i="1" s="1"/>
  <c r="J53" i="1" s="1"/>
  <c r="K50" i="1"/>
  <c r="K52" i="1" s="1"/>
  <c r="K53" i="1" s="1"/>
  <c r="C50" i="1"/>
  <c r="C52" i="1" s="1"/>
  <c r="C53" i="1" s="1"/>
  <c r="C49" i="1"/>
</calcChain>
</file>

<file path=xl/sharedStrings.xml><?xml version="1.0" encoding="utf-8"?>
<sst xmlns="http://schemas.openxmlformats.org/spreadsheetml/2006/main" count="116" uniqueCount="66">
  <si>
    <t>Software Version</t>
  </si>
  <si>
    <t>3.12.08</t>
  </si>
  <si>
    <t>Experiment File Path:</t>
  </si>
  <si>
    <t>D:\Amplex red 3rd bio rep - 2-22-25\2nd tech rep\Amplex red Aze Fluorescence1st 2-22-25.xpt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</si>
  <si>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</si>
  <si>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</si>
  <si>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</si>
  <si>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</si>
  <si>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</si>
  <si>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</si>
  <si>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</si>
  <si>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</si>
  <si>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2203071E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</si>
  <si>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</si>
  <si>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</si>
  <si>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</si>
  <si>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</si>
  <si>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</si>
  <si>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</si>
  <si>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</si>
  <si>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</si>
  <si>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</si>
  <si>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</si>
  <si>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545/9,  Emission: 590/20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</si>
  <si>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</si>
  <si>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</si>
  <si>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</si>
  <si>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</si>
  <si>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</si>
  <si>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</si>
  <si>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</si>
  <si>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</si>
  <si>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</si>
  <si>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</si>
  <si>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</si>
  <si>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</si>
  <si>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</si>
  <si>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</si>
  <si>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HRP + RB</t>
  </si>
  <si>
    <t>S</t>
  </si>
  <si>
    <t>AR + HRP + RB</t>
  </si>
  <si>
    <t>AR + RB</t>
  </si>
  <si>
    <t>mean A</t>
  </si>
  <si>
    <t>mean H2O2</t>
  </si>
  <si>
    <t>mean H2O2 - A</t>
  </si>
  <si>
    <t>(mean H2O2 - A - mean H2O2 of 0</t>
  </si>
  <si>
    <t>S-C</t>
  </si>
  <si>
    <t>sample was 25ul</t>
  </si>
  <si>
    <t>H2O2 uM in 25ul</t>
  </si>
  <si>
    <t>y = 6036.4 x - 2249.2</t>
  </si>
  <si>
    <t>x = (y + 2249.2) / 6036.4</t>
  </si>
  <si>
    <t>Total vol was 500ul</t>
  </si>
  <si>
    <t>H2O2 uM in 100ul of extration</t>
  </si>
  <si>
    <t>H2O2 uM in 500ul</t>
  </si>
  <si>
    <t>I took 100ul from the extraction and volume up to 500ul</t>
  </si>
  <si>
    <t>Total extraction vol was 400ul</t>
  </si>
  <si>
    <t>H2O2 uM in 1mg</t>
  </si>
  <si>
    <t>Total weight was 150mg</t>
  </si>
  <si>
    <t>Aze concentration</t>
  </si>
  <si>
    <t>rep</t>
  </si>
  <si>
    <t>H2O2</t>
  </si>
  <si>
    <t>Ave</t>
  </si>
  <si>
    <t>SD</t>
  </si>
  <si>
    <t>t-test</t>
  </si>
  <si>
    <t>Average H2O2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</si>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</sst>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2" fillId="19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1" borderId="0" xfId="0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 1 - Sheet1'!$M$51:$U$51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</c:numCache>
            </c:numRef>
          </c:xVal>
          <c:yVal>
            <c:numRef>
              <c:f>'Plate 1 - Sheet1'!$M$52:$U$52</c:f>
              <c:numCache>
                <c:formatCode>General</c:formatCode>
                <c:ptCount val="9"/>
                <c:pt idx="0">
                  <c:v>0</c:v>
                </c:pt>
                <c:pt idx="1">
                  <c:v>682.5</c:v>
                </c:pt>
                <c:pt idx="2">
                  <c:v>8994.5</c:v>
                </c:pt>
                <c:pt idx="3">
                  <c:v>17013</c:v>
                </c:pt>
                <c:pt idx="4">
                  <c:v>16823</c:v>
                </c:pt>
                <c:pt idx="5">
                  <c:v>29053</c:v>
                </c:pt>
                <c:pt idx="6">
                  <c:v>40346</c:v>
                </c:pt>
                <c:pt idx="7">
                  <c:v>41120</c:v>
                </c:pt>
                <c:pt idx="8">
                  <c:v>55108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D-45E8-9D7F-2E18ADD71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040864"/>
        <c:axId val="838041344"/>
      </c:scatterChart>
      <c:valAx>
        <c:axId val="8380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41344"/>
        <c:crosses val="autoZero"/>
        <c:crossBetween val="midCat"/>
      </c:valAx>
      <c:valAx>
        <c:axId val="8380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4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H2O2 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'Plate 1 - Sheet1'!$J$113</c:f>
              <c:strCache>
                <c:ptCount val="1"/>
                <c:pt idx="0">
                  <c:v>Average H2O2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'Plate 1 - Sheet1'!$K$114:$K$118</c:f>
                <c:numCache>
                  <c:formatCode>General</c:formatCode>
                  <c:ptCount val="5"/>
                  <c:pt idx="0">
                    <c:v>1.105085000981072</c:v>
                  </c:pt>
                  <c:pt idx="1">
                    <c:v>0.24676513422022606</c:v>
                  </c:pt>
                  <c:pt idx="2">
                    <c:v>0.98261076451736784</c:v>
                  </c:pt>
                  <c:pt idx="3">
                    <c:v>0.52660207508377499</c:v>
                  </c:pt>
                  <c:pt idx="4">
                    <c:v>0.50032155706819037</c:v>
                  </c:pt>
                </c:numCache>
              </c:numRef>
            </c:plus>
            <c:minus>
              <c:numRef>
                <c:f>'Plate 1 - Sheet1'!$K$114:$K$118</c:f>
                <c:numCache>
                  <c:formatCode>General</c:formatCode>
                  <c:ptCount val="5"/>
                  <c:pt idx="0">
                    <c:v>1.105085000981072</c:v>
                  </c:pt>
                  <c:pt idx="1">
                    <c:v>0.24676513422022606</c:v>
                  </c:pt>
                  <c:pt idx="2">
                    <c:v>0.98261076451736784</c:v>
                  </c:pt>
                  <c:pt idx="3">
                    <c:v>0.52660207508377499</c:v>
                  </c:pt>
                  <c:pt idx="4">
                    <c:v>0.50032155706819037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'Plate 1 - Sheet1'!$I$114:$I$118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'Plate 1 - Sheet1'!$J$114:$J$118</c:f>
              <c:numCache>
                <c:formatCode>General</c:formatCode>
                <c:ptCount val="5"/>
                <c:pt idx="0">
                  <c:v>4.8871689527974729</c:v>
                </c:pt>
                <c:pt idx="1">
                  <c:v>6.3013451726194427</c:v>
                </c:pt>
                <c:pt idx="2">
                  <c:v>5.1305075136762897</c:v>
                </c:pt>
                <c:pt idx="3">
                  <c:v>8.323021079524958</c:v>
                </c:pt>
                <c:pt idx="4">
                  <c:v>8.3059100714922067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A-4467-B6B8-778F093D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904576"/>
        <c:axId val="830892576"/>
      </c:barChart>
      <c:catAx>
        <c:axId val="8309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92576"/>
        <c:crosses val="autoZero"/>
        <c:auto val="1"/>
        <c:lblAlgn val="ctr"/>
        <c:lblOffset val="100"/>
        <c:noMultiLvlLbl val="0"/>
      </c:catAx>
      <c:valAx>
        <c:axId val="8308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564445</xdr:colOff>
      <xdr:row>52</xdr:row>
      <xdr:rowOff>74788</xdr:rowOff>
    </xdr:from>
    <xdr:to>
      <xdr:col>22</xdr:col>
      <xdr:colOff>282223</xdr:colOff>
      <xdr:row>71</xdr:row>
      <xdr:rowOff>98778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C6587-923A-29EA-EF70-A7D697580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378732</xdr:colOff>
      <xdr:row>111</xdr:row>
      <xdr:rowOff>60929</xdr:rowOff>
    </xdr:from>
    <xdr:to>
      <xdr:col>18</xdr:col>
      <xdr:colOff>21922</xdr:colOff>
      <xdr:row>127</xdr:row>
      <xdr:rowOff>105379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C5B532-032A-7B48-65BE-D3A608E14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33E3-4778-4302-BE38-85AB467DD37E}">
  <dimension ref="A2:AE143"/>
  <sheetViews>
    <sheetView tabSelected="1" topLeftCell="A119" zoomScale="84" workbookViewId="0">
      <selection activeCell="D138" sqref="D138:D143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  <col min="3" max="3" width="11.6640625" bestFit="1" customWidth="1"/>
    <col min="4" max="7" width="11.33203125" bestFit="1" customWidth="1"/>
    <col min="8" max="14" width="11.6640625" bestFit="1" customWidth="1"/>
    <col min="15" max="31" width="8.83203125" bestFit="1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</row>
    <row r="6" spans="1:2" x14ac:dyDescent="0.15">
      <c r="A6" t="s">
        <v>5</v>
      </c>
      <c r="B6" t="s">
        <v>6</v>
      </c>
    </row>
    <row r="7" spans="1:2" x14ac:dyDescent="0.15">
      <c r="A7" t="s">
        <v>7</v>
      </c>
      <c r="B7" s="1">
        <v>45710</v>
      </c>
    </row>
    <row r="8" spans="1:2" x14ac:dyDescent="0.15">
      <c r="A8" t="s">
        <v>8</v>
      </c>
      <c r="B8" s="2">
        <v>0.76053240740740746</v>
      </c>
    </row>
    <row r="9" spans="1:2" x14ac:dyDescent="0.15">
      <c r="A9" t="s">
        <v>9</v>
      </c>
      <c r="B9" t="s">
        <v>10</v>
      </c>
    </row>
    <row r="10" spans="1:2" x14ac:dyDescent="0.15">
      <c r="A10" t="s">
        <v>11</v>
      </c>
      <c r="B10" t="s">
        <v>12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15" x14ac:dyDescent="0.15">
      <c r="B17" t="s">
        <v>21</v>
      </c>
    </row>
    <row r="18" spans="1:15" x14ac:dyDescent="0.15">
      <c r="B18" t="s">
        <v>22</v>
      </c>
    </row>
    <row r="19" spans="1:15" x14ac:dyDescent="0.15">
      <c r="B19" t="s">
        <v>23</v>
      </c>
    </row>
    <row r="20" spans="1:15" x14ac:dyDescent="0.15">
      <c r="B20" t="s">
        <v>24</v>
      </c>
    </row>
    <row r="21" spans="1:15" x14ac:dyDescent="0.15">
      <c r="B21" t="s">
        <v>25</v>
      </c>
    </row>
    <row r="22" spans="1:15" x14ac:dyDescent="0.15">
      <c r="B22" t="s">
        <v>26</v>
      </c>
    </row>
    <row r="23" spans="1:15" x14ac:dyDescent="0.15">
      <c r="B23" t="s">
        <v>27</v>
      </c>
    </row>
    <row r="25" spans="1:15" ht="14" x14ac:dyDescent="0.15">
      <c r="A25" s="3" t="s">
        <v>28</v>
      </c>
      <c r="B25" s="4"/>
    </row>
    <row r="26" spans="1:15" x14ac:dyDescent="0.15">
      <c r="A26" t="s">
        <v>29</v>
      </c>
      <c r="B26">
        <v>23.9</v>
      </c>
    </row>
    <row r="28" spans="1:15" x14ac:dyDescent="0.1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4" x14ac:dyDescent="0.15">
      <c r="B29" s="6" t="s">
        <v>30</v>
      </c>
      <c r="C29" s="7">
        <v>12</v>
      </c>
      <c r="D29" s="7">
        <v>17</v>
      </c>
      <c r="E29" s="7">
        <v>12</v>
      </c>
      <c r="F29" s="7">
        <v>9</v>
      </c>
      <c r="G29" s="7">
        <v>12</v>
      </c>
      <c r="H29" s="7">
        <v>12</v>
      </c>
      <c r="I29" s="7">
        <v>14</v>
      </c>
      <c r="J29" s="7">
        <v>26</v>
      </c>
      <c r="K29" s="7">
        <v>15</v>
      </c>
      <c r="L29" s="7">
        <v>16</v>
      </c>
      <c r="M29" s="7">
        <v>16</v>
      </c>
      <c r="N29" s="7">
        <v>16</v>
      </c>
      <c r="O29" s="8">
        <v>545590</v>
      </c>
    </row>
    <row r="30" spans="1:15" ht="14" x14ac:dyDescent="0.15">
      <c r="B30" s="6" t="s">
        <v>31</v>
      </c>
      <c r="C30" s="7">
        <v>14</v>
      </c>
      <c r="D30" s="7">
        <v>17</v>
      </c>
      <c r="E30" s="7">
        <v>18</v>
      </c>
      <c r="F30" s="7">
        <v>17</v>
      </c>
      <c r="G30" s="7">
        <v>12</v>
      </c>
      <c r="H30" s="7">
        <v>19</v>
      </c>
      <c r="I30" s="7">
        <v>20</v>
      </c>
      <c r="J30" s="7">
        <v>16</v>
      </c>
      <c r="K30" s="7">
        <v>18</v>
      </c>
      <c r="L30" s="7">
        <v>19</v>
      </c>
      <c r="M30" s="7">
        <v>15</v>
      </c>
      <c r="N30" s="7">
        <v>20</v>
      </c>
      <c r="O30" s="8">
        <v>545590</v>
      </c>
    </row>
    <row r="31" spans="1:15" ht="14" x14ac:dyDescent="0.15">
      <c r="B31" s="6" t="s">
        <v>32</v>
      </c>
      <c r="C31" s="7">
        <v>11</v>
      </c>
      <c r="D31" s="7">
        <v>15</v>
      </c>
      <c r="E31" s="7">
        <v>17</v>
      </c>
      <c r="F31" s="7">
        <v>18</v>
      </c>
      <c r="G31" s="7">
        <v>17</v>
      </c>
      <c r="H31" s="7">
        <v>18</v>
      </c>
      <c r="I31" s="7">
        <v>19</v>
      </c>
      <c r="J31" s="7">
        <v>15</v>
      </c>
      <c r="K31" s="7">
        <v>14</v>
      </c>
      <c r="L31" s="7">
        <v>16</v>
      </c>
      <c r="M31" s="7">
        <v>13</v>
      </c>
      <c r="N31" s="7">
        <v>14</v>
      </c>
      <c r="O31" s="8">
        <v>545590</v>
      </c>
    </row>
    <row r="32" spans="1:15" ht="14" x14ac:dyDescent="0.15">
      <c r="B32" s="6" t="s">
        <v>33</v>
      </c>
      <c r="C32" s="9">
        <v>63251</v>
      </c>
      <c r="D32" s="10">
        <v>36735</v>
      </c>
      <c r="E32" s="9">
        <v>61646</v>
      </c>
      <c r="F32" s="11">
        <v>55148</v>
      </c>
      <c r="G32" s="9">
        <v>63565</v>
      </c>
      <c r="H32" s="10">
        <v>38119</v>
      </c>
      <c r="I32" s="12">
        <v>67449</v>
      </c>
      <c r="J32" s="12">
        <v>72027</v>
      </c>
      <c r="K32" s="12">
        <v>69433</v>
      </c>
      <c r="L32" s="12">
        <v>67296</v>
      </c>
      <c r="M32" s="12">
        <v>72655</v>
      </c>
      <c r="N32" s="9">
        <v>65669</v>
      </c>
      <c r="O32" s="8">
        <v>545590</v>
      </c>
    </row>
    <row r="33" spans="2:17" ht="14" x14ac:dyDescent="0.15">
      <c r="B33" s="6" t="s">
        <v>34</v>
      </c>
      <c r="C33" s="9">
        <v>63201</v>
      </c>
      <c r="D33" s="9">
        <v>59575</v>
      </c>
      <c r="E33" s="9">
        <v>60166</v>
      </c>
      <c r="F33" s="9">
        <v>59306</v>
      </c>
      <c r="G33" s="13">
        <v>33327</v>
      </c>
      <c r="H33" s="9">
        <v>59437</v>
      </c>
      <c r="I33" s="14">
        <v>102299</v>
      </c>
      <c r="J33" s="15">
        <v>85389</v>
      </c>
      <c r="K33" s="16">
        <v>88416</v>
      </c>
      <c r="L33" s="16">
        <v>91788</v>
      </c>
      <c r="M33" s="16">
        <v>89223</v>
      </c>
      <c r="N33" s="16">
        <v>94710</v>
      </c>
      <c r="O33" s="8">
        <v>545590</v>
      </c>
    </row>
    <row r="34" spans="2:17" ht="14" x14ac:dyDescent="0.15">
      <c r="B34" s="6" t="s">
        <v>35</v>
      </c>
      <c r="C34" s="7">
        <v>13</v>
      </c>
      <c r="D34" s="14">
        <v>98849</v>
      </c>
      <c r="E34" s="14">
        <v>95288</v>
      </c>
      <c r="F34" s="15">
        <v>83701</v>
      </c>
      <c r="G34" s="16">
        <v>90472</v>
      </c>
      <c r="H34" s="14">
        <v>95066</v>
      </c>
      <c r="I34" s="15">
        <v>87283</v>
      </c>
      <c r="J34" s="7">
        <v>15</v>
      </c>
      <c r="K34" s="7">
        <v>10</v>
      </c>
      <c r="L34" s="7">
        <v>11</v>
      </c>
      <c r="M34" s="7">
        <v>11</v>
      </c>
      <c r="N34" s="7">
        <v>11</v>
      </c>
      <c r="O34" s="8">
        <v>545590</v>
      </c>
    </row>
    <row r="35" spans="2:17" ht="14" x14ac:dyDescent="0.15">
      <c r="B35" s="6" t="s">
        <v>36</v>
      </c>
      <c r="C35" s="7">
        <v>5958</v>
      </c>
      <c r="D35" s="7">
        <v>6698</v>
      </c>
      <c r="E35" s="17">
        <v>13262</v>
      </c>
      <c r="F35" s="18">
        <v>24479</v>
      </c>
      <c r="G35" s="18">
        <v>25787</v>
      </c>
      <c r="H35" s="13">
        <v>32303</v>
      </c>
      <c r="I35" s="19">
        <v>44702</v>
      </c>
      <c r="J35" s="19">
        <v>45829</v>
      </c>
      <c r="K35" s="11">
        <v>55330</v>
      </c>
      <c r="L35" s="7">
        <v>444</v>
      </c>
      <c r="M35" s="7">
        <v>409</v>
      </c>
      <c r="N35" s="7">
        <v>11</v>
      </c>
      <c r="O35" s="8">
        <v>545590</v>
      </c>
    </row>
    <row r="36" spans="2:17" ht="14" x14ac:dyDescent="0.15">
      <c r="B36" s="6" t="s">
        <v>37</v>
      </c>
      <c r="C36" s="7">
        <v>5011</v>
      </c>
      <c r="D36" s="7">
        <v>5636</v>
      </c>
      <c r="E36" s="20">
        <v>15696</v>
      </c>
      <c r="F36" s="20">
        <v>20516</v>
      </c>
      <c r="G36" s="20">
        <v>18828</v>
      </c>
      <c r="H36" s="10">
        <v>36772</v>
      </c>
      <c r="I36" s="19">
        <v>46959</v>
      </c>
      <c r="J36" s="19">
        <v>47380</v>
      </c>
      <c r="K36" s="12">
        <v>65855</v>
      </c>
      <c r="L36" s="7">
        <v>11</v>
      </c>
      <c r="M36" s="7">
        <v>15</v>
      </c>
      <c r="N36" s="7">
        <v>10</v>
      </c>
      <c r="O36" s="8">
        <v>545590</v>
      </c>
    </row>
    <row r="39" spans="2:17" ht="14" x14ac:dyDescent="0.15">
      <c r="B39" s="6" t="s">
        <v>30</v>
      </c>
      <c r="C39" s="24">
        <v>12</v>
      </c>
      <c r="D39" s="24">
        <v>17</v>
      </c>
      <c r="E39" s="24">
        <v>12</v>
      </c>
      <c r="F39" s="24">
        <v>9</v>
      </c>
      <c r="G39" s="24">
        <v>12</v>
      </c>
      <c r="H39" s="24">
        <v>12</v>
      </c>
      <c r="I39" s="24">
        <v>14</v>
      </c>
      <c r="J39" s="24">
        <v>26</v>
      </c>
      <c r="K39" s="24">
        <v>15</v>
      </c>
      <c r="L39" s="24">
        <v>16</v>
      </c>
      <c r="M39" s="24">
        <v>16</v>
      </c>
      <c r="N39" s="24">
        <v>16</v>
      </c>
    </row>
    <row r="40" spans="2:17" ht="14" x14ac:dyDescent="0.15">
      <c r="B40" s="6" t="s">
        <v>31</v>
      </c>
      <c r="C40" s="24">
        <v>14</v>
      </c>
      <c r="D40" s="24">
        <v>17</v>
      </c>
      <c r="E40" s="24">
        <v>18</v>
      </c>
      <c r="F40" s="24">
        <v>17</v>
      </c>
      <c r="G40" s="24">
        <v>12</v>
      </c>
      <c r="H40" s="24">
        <v>19</v>
      </c>
      <c r="I40" s="24">
        <v>20</v>
      </c>
      <c r="J40" s="24">
        <v>16</v>
      </c>
      <c r="K40" s="24">
        <v>18</v>
      </c>
      <c r="L40" s="24">
        <v>19</v>
      </c>
      <c r="M40" s="24">
        <v>15</v>
      </c>
      <c r="N40" s="24">
        <v>20</v>
      </c>
      <c r="P40" s="21" t="s">
        <v>32</v>
      </c>
      <c r="Q40" t="s">
        <v>38</v>
      </c>
    </row>
    <row r="41" spans="2:17" ht="14" x14ac:dyDescent="0.15">
      <c r="B41" s="6" t="s">
        <v>32</v>
      </c>
      <c r="C41" s="26">
        <v>11</v>
      </c>
      <c r="D41" s="24">
        <v>15</v>
      </c>
      <c r="E41" s="24">
        <v>17</v>
      </c>
      <c r="F41" s="24">
        <v>18</v>
      </c>
      <c r="G41" s="24">
        <v>17</v>
      </c>
      <c r="H41" s="24">
        <v>18</v>
      </c>
      <c r="I41" s="24">
        <v>19</v>
      </c>
      <c r="J41" s="7">
        <v>15</v>
      </c>
      <c r="K41" s="7">
        <v>14</v>
      </c>
      <c r="L41" s="7">
        <v>16</v>
      </c>
      <c r="M41" s="7">
        <v>13</v>
      </c>
      <c r="N41" s="7">
        <v>14</v>
      </c>
      <c r="P41" s="22" t="s">
        <v>39</v>
      </c>
      <c r="Q41" t="s">
        <v>40</v>
      </c>
    </row>
    <row r="42" spans="2:17" ht="14" x14ac:dyDescent="0.15">
      <c r="B42" s="6" t="s">
        <v>33</v>
      </c>
      <c r="C42" s="25">
        <v>63251</v>
      </c>
      <c r="D42" s="25">
        <v>36735</v>
      </c>
      <c r="E42" s="25">
        <v>61646</v>
      </c>
      <c r="F42" s="25">
        <v>55148</v>
      </c>
      <c r="G42" s="25">
        <v>63565</v>
      </c>
      <c r="H42" s="25">
        <v>38119</v>
      </c>
      <c r="I42" s="25">
        <v>67449</v>
      </c>
      <c r="J42" s="25">
        <v>72027</v>
      </c>
      <c r="K42" s="25">
        <v>69433</v>
      </c>
      <c r="L42" s="25">
        <v>67296</v>
      </c>
      <c r="M42" s="25">
        <v>72655</v>
      </c>
      <c r="N42" s="25">
        <v>65669</v>
      </c>
      <c r="P42" s="23" t="s">
        <v>30</v>
      </c>
      <c r="Q42" t="s">
        <v>41</v>
      </c>
    </row>
    <row r="43" spans="2:17" ht="14" x14ac:dyDescent="0.15">
      <c r="B43" s="6" t="s">
        <v>34</v>
      </c>
      <c r="C43" s="25">
        <v>63201</v>
      </c>
      <c r="D43" s="25">
        <v>59575</v>
      </c>
      <c r="E43" s="25">
        <v>60166</v>
      </c>
      <c r="F43" s="25">
        <v>59306</v>
      </c>
      <c r="G43" s="25">
        <v>33327</v>
      </c>
      <c r="H43" s="25">
        <v>59437</v>
      </c>
      <c r="I43" s="25">
        <v>102299</v>
      </c>
      <c r="J43" s="25">
        <v>85389</v>
      </c>
      <c r="K43" s="25">
        <v>88416</v>
      </c>
      <c r="L43" s="25">
        <v>91788</v>
      </c>
      <c r="M43" s="25">
        <v>89223</v>
      </c>
      <c r="N43" s="25">
        <v>94710</v>
      </c>
    </row>
    <row r="44" spans="2:17" ht="14" x14ac:dyDescent="0.15">
      <c r="B44" s="6" t="s">
        <v>35</v>
      </c>
      <c r="C44" s="7">
        <v>13</v>
      </c>
      <c r="D44" s="25">
        <v>98849</v>
      </c>
      <c r="E44" s="25">
        <v>95288</v>
      </c>
      <c r="F44" s="25">
        <v>83701</v>
      </c>
      <c r="G44" s="25">
        <v>90472</v>
      </c>
      <c r="H44" s="25">
        <v>95066</v>
      </c>
      <c r="I44" s="25">
        <v>87283</v>
      </c>
      <c r="J44" s="7">
        <v>15</v>
      </c>
      <c r="K44" s="7">
        <v>10</v>
      </c>
      <c r="L44" s="7">
        <v>11</v>
      </c>
      <c r="M44" s="7">
        <v>11</v>
      </c>
      <c r="N44" s="7">
        <v>11</v>
      </c>
    </row>
    <row r="45" spans="2:17" ht="14" x14ac:dyDescent="0.15">
      <c r="B45" s="6" t="s">
        <v>36</v>
      </c>
      <c r="C45" s="7">
        <v>5958</v>
      </c>
      <c r="D45" s="7">
        <v>6698</v>
      </c>
      <c r="E45" s="17">
        <v>13262</v>
      </c>
      <c r="F45" s="18">
        <v>24479</v>
      </c>
      <c r="G45" s="18">
        <v>25787</v>
      </c>
      <c r="H45" s="13">
        <v>32303</v>
      </c>
      <c r="I45" s="19">
        <v>44702</v>
      </c>
      <c r="J45" s="19">
        <v>45829</v>
      </c>
      <c r="K45" s="11">
        <v>55330</v>
      </c>
      <c r="L45" s="27">
        <v>444</v>
      </c>
      <c r="M45" s="27">
        <v>409</v>
      </c>
      <c r="N45" s="7">
        <v>11</v>
      </c>
    </row>
    <row r="46" spans="2:17" ht="14" x14ac:dyDescent="0.15">
      <c r="B46" s="6" t="s">
        <v>37</v>
      </c>
      <c r="C46" s="7">
        <v>5011</v>
      </c>
      <c r="D46" s="7">
        <v>5636</v>
      </c>
      <c r="E46" s="20">
        <v>15696</v>
      </c>
      <c r="F46" s="20">
        <v>20516</v>
      </c>
      <c r="G46" s="20">
        <v>18828</v>
      </c>
      <c r="H46" s="10">
        <v>36772</v>
      </c>
      <c r="I46" s="19">
        <v>46959</v>
      </c>
      <c r="J46" s="19">
        <v>47380</v>
      </c>
      <c r="K46" s="12">
        <v>65855</v>
      </c>
      <c r="L46" s="7">
        <v>11</v>
      </c>
      <c r="M46" s="7">
        <v>15</v>
      </c>
      <c r="N46" s="7">
        <v>10</v>
      </c>
    </row>
    <row r="49" spans="2:21" ht="14" x14ac:dyDescent="0.15">
      <c r="B49" s="28" t="s">
        <v>42</v>
      </c>
      <c r="C49">
        <f>AVERAGE(L45:M45)</f>
        <v>426.5</v>
      </c>
    </row>
    <row r="50" spans="2:21" ht="14" x14ac:dyDescent="0.15">
      <c r="B50" s="28" t="s">
        <v>43</v>
      </c>
      <c r="C50">
        <f>AVERAGE(C45,C46)</f>
        <v>5484.5</v>
      </c>
      <c r="D50">
        <f t="shared" ref="D50:I50" si="0">AVERAGE(D45,D46)</f>
        <v>6167</v>
      </c>
      <c r="E50">
        <f t="shared" si="0"/>
        <v>14479</v>
      </c>
      <c r="F50">
        <f t="shared" si="0"/>
        <v>22497.5</v>
      </c>
      <c r="G50">
        <f t="shared" si="0"/>
        <v>22307.5</v>
      </c>
      <c r="H50">
        <f t="shared" si="0"/>
        <v>34537.5</v>
      </c>
      <c r="I50">
        <f t="shared" si="0"/>
        <v>45830.5</v>
      </c>
      <c r="J50">
        <f>AVERAGE(J45,J46)</f>
        <v>46604.5</v>
      </c>
      <c r="K50">
        <f>AVERAGE(K45,K46)</f>
        <v>60592.5</v>
      </c>
    </row>
    <row r="51" spans="2:21" x14ac:dyDescent="0.15">
      <c r="M51">
        <v>0</v>
      </c>
      <c r="N51">
        <v>1</v>
      </c>
      <c r="O51">
        <v>2</v>
      </c>
      <c r="P51">
        <v>3</v>
      </c>
      <c r="Q51">
        <v>4</v>
      </c>
      <c r="R51">
        <v>5</v>
      </c>
      <c r="S51">
        <v>6</v>
      </c>
      <c r="T51">
        <v>7</v>
      </c>
      <c r="U51">
        <v>10</v>
      </c>
    </row>
    <row r="52" spans="2:21" ht="28" x14ac:dyDescent="0.15">
      <c r="B52" s="28" t="s">
        <v>44</v>
      </c>
      <c r="C52">
        <f>C50-426.5</f>
        <v>5058</v>
      </c>
      <c r="D52">
        <f t="shared" ref="D52:I52" si="1">D50-426.5</f>
        <v>5740.5</v>
      </c>
      <c r="E52">
        <f t="shared" si="1"/>
        <v>14052.5</v>
      </c>
      <c r="F52">
        <f t="shared" si="1"/>
        <v>22071</v>
      </c>
      <c r="G52">
        <f t="shared" si="1"/>
        <v>21881</v>
      </c>
      <c r="H52">
        <f t="shared" si="1"/>
        <v>34111</v>
      </c>
      <c r="I52">
        <f t="shared" si="1"/>
        <v>45404</v>
      </c>
      <c r="J52">
        <f>J50-426.5</f>
        <v>46178</v>
      </c>
      <c r="K52">
        <f>K50-426.5</f>
        <v>60166</v>
      </c>
      <c r="M52">
        <v>0</v>
      </c>
      <c r="N52">
        <v>682.5</v>
      </c>
      <c r="O52">
        <v>8994.5</v>
      </c>
      <c r="P52">
        <v>17013</v>
      </c>
      <c r="Q52">
        <v>16823</v>
      </c>
      <c r="R52">
        <v>29053</v>
      </c>
      <c r="S52">
        <v>40346</v>
      </c>
      <c r="T52">
        <v>41120</v>
      </c>
      <c r="U52">
        <v>55108</v>
      </c>
    </row>
    <row r="53" spans="2:21" ht="42" x14ac:dyDescent="0.15">
      <c r="B53" s="29" t="s">
        <v>45</v>
      </c>
      <c r="C53">
        <f>C52-5058</f>
        <v>0</v>
      </c>
      <c r="D53">
        <f t="shared" ref="D53:K53" si="2">D52-5058</f>
        <v>682.5</v>
      </c>
      <c r="E53">
        <f t="shared" si="2"/>
        <v>8994.5</v>
      </c>
      <c r="F53">
        <f t="shared" si="2"/>
        <v>17013</v>
      </c>
      <c r="G53">
        <f t="shared" si="2"/>
        <v>16823</v>
      </c>
      <c r="H53">
        <f t="shared" si="2"/>
        <v>29053</v>
      </c>
      <c r="I53">
        <f t="shared" si="2"/>
        <v>40346</v>
      </c>
      <c r="J53">
        <f t="shared" si="2"/>
        <v>41120</v>
      </c>
      <c r="K53">
        <f t="shared" si="2"/>
        <v>55108</v>
      </c>
    </row>
    <row r="56" spans="2:21" ht="14" x14ac:dyDescent="0.15">
      <c r="B56" s="6" t="s">
        <v>46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spans="2:21" ht="14" x14ac:dyDescent="0.15">
      <c r="B57" s="6" t="s">
        <v>31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spans="2:21" ht="14" x14ac:dyDescent="0.15">
      <c r="B58" s="6" t="s">
        <v>32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spans="2:21" ht="14" x14ac:dyDescent="0.15">
      <c r="B59" s="6" t="s">
        <v>33</v>
      </c>
      <c r="C59" s="30">
        <f>C42-C39</f>
        <v>63239</v>
      </c>
      <c r="D59" s="30">
        <f t="shared" ref="D59:N61" si="3">D42-D39</f>
        <v>36718</v>
      </c>
      <c r="E59" s="30">
        <f t="shared" si="3"/>
        <v>61634</v>
      </c>
      <c r="F59" s="30">
        <f t="shared" si="3"/>
        <v>55139</v>
      </c>
      <c r="G59" s="30">
        <f t="shared" si="3"/>
        <v>63553</v>
      </c>
      <c r="H59" s="30">
        <f t="shared" si="3"/>
        <v>38107</v>
      </c>
      <c r="I59" s="30">
        <f t="shared" si="3"/>
        <v>67435</v>
      </c>
      <c r="J59" s="30">
        <f t="shared" si="3"/>
        <v>72001</v>
      </c>
      <c r="K59" s="30">
        <f t="shared" si="3"/>
        <v>69418</v>
      </c>
      <c r="L59" s="30">
        <f t="shared" si="3"/>
        <v>67280</v>
      </c>
      <c r="M59" s="30">
        <f t="shared" si="3"/>
        <v>72639</v>
      </c>
      <c r="N59" s="30">
        <f t="shared" si="3"/>
        <v>65653</v>
      </c>
    </row>
    <row r="60" spans="2:21" ht="14" x14ac:dyDescent="0.15">
      <c r="B60" s="6" t="s">
        <v>34</v>
      </c>
      <c r="C60" s="30">
        <f>C43-C40</f>
        <v>63187</v>
      </c>
      <c r="D60" s="30">
        <f t="shared" si="3"/>
        <v>59558</v>
      </c>
      <c r="E60" s="30">
        <f t="shared" ref="E60:I60" si="4">E43-E40</f>
        <v>60148</v>
      </c>
      <c r="F60" s="30">
        <f t="shared" si="4"/>
        <v>59289</v>
      </c>
      <c r="G60" s="30">
        <f t="shared" si="4"/>
        <v>33315</v>
      </c>
      <c r="H60" s="30">
        <f t="shared" si="4"/>
        <v>59418</v>
      </c>
      <c r="I60" s="30">
        <f t="shared" si="4"/>
        <v>102279</v>
      </c>
      <c r="J60" s="30">
        <f t="shared" si="3"/>
        <v>85373</v>
      </c>
      <c r="K60" s="30">
        <f t="shared" si="3"/>
        <v>88398</v>
      </c>
      <c r="L60" s="30">
        <f t="shared" si="3"/>
        <v>91769</v>
      </c>
      <c r="M60" s="30">
        <f t="shared" si="3"/>
        <v>89208</v>
      </c>
      <c r="N60" s="30">
        <f t="shared" si="3"/>
        <v>94690</v>
      </c>
    </row>
    <row r="61" spans="2:21" ht="14" x14ac:dyDescent="0.15">
      <c r="B61" s="6" t="s">
        <v>35</v>
      </c>
      <c r="C61" s="30"/>
      <c r="D61" s="30">
        <f t="shared" si="3"/>
        <v>98834</v>
      </c>
      <c r="E61" s="30">
        <f t="shared" ref="E61:I61" si="5">E44-E41</f>
        <v>95271</v>
      </c>
      <c r="F61" s="30">
        <f t="shared" si="5"/>
        <v>83683</v>
      </c>
      <c r="G61" s="30">
        <f t="shared" si="5"/>
        <v>90455</v>
      </c>
      <c r="H61" s="30">
        <f t="shared" si="5"/>
        <v>95048</v>
      </c>
      <c r="I61" s="30">
        <f t="shared" si="5"/>
        <v>87264</v>
      </c>
      <c r="J61" s="30"/>
      <c r="K61" s="30"/>
      <c r="L61" s="30"/>
      <c r="M61" s="30"/>
      <c r="N61" s="30"/>
    </row>
    <row r="62" spans="2:21" ht="14" x14ac:dyDescent="0.15">
      <c r="B62" s="6" t="s">
        <v>36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 spans="2:21" ht="14" x14ac:dyDescent="0.15">
      <c r="B63" s="6" t="s">
        <v>37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5" spans="1:17" ht="28" x14ac:dyDescent="0.15">
      <c r="B65" s="28" t="s">
        <v>47</v>
      </c>
    </row>
    <row r="66" spans="1:17" ht="28" x14ac:dyDescent="0.15">
      <c r="B66" s="5" t="s">
        <v>48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7" ht="14" x14ac:dyDescent="0.15">
      <c r="B67" s="6" t="s">
        <v>31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spans="1:17" ht="14" x14ac:dyDescent="0.15">
      <c r="B68" s="6" t="s">
        <v>32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1:17" ht="14" x14ac:dyDescent="0.15">
      <c r="B69" s="6" t="s">
        <v>33</v>
      </c>
      <c r="C69" s="30">
        <f>(C59+2249.2)/6036.4</f>
        <v>10.848883440461202</v>
      </c>
      <c r="D69" s="30">
        <f t="shared" ref="D69:N71" si="6">(D59+2249.2)/6036.4</f>
        <v>6.4553707507786093</v>
      </c>
      <c r="E69" s="30">
        <f t="shared" si="6"/>
        <v>10.582996487972965</v>
      </c>
      <c r="F69" s="30">
        <f t="shared" si="6"/>
        <v>9.5070240540719642</v>
      </c>
      <c r="G69" s="30">
        <f t="shared" si="6"/>
        <v>10.900901199390365</v>
      </c>
      <c r="H69" s="30">
        <f t="shared" si="6"/>
        <v>6.6854747862964681</v>
      </c>
      <c r="I69" s="30">
        <f t="shared" si="6"/>
        <v>11.543999734941355</v>
      </c>
      <c r="J69" s="30">
        <f t="shared" si="6"/>
        <v>12.300410840898548</v>
      </c>
      <c r="K69" s="30">
        <f t="shared" si="6"/>
        <v>11.872506792127759</v>
      </c>
      <c r="L69" s="30">
        <f t="shared" si="6"/>
        <v>11.518322178782055</v>
      </c>
      <c r="M69" s="30">
        <f t="shared" si="6"/>
        <v>12.406102975283282</v>
      </c>
      <c r="N69" s="30">
        <f t="shared" si="6"/>
        <v>11.248790669935724</v>
      </c>
    </row>
    <row r="70" spans="1:17" ht="14" x14ac:dyDescent="0.15">
      <c r="B70" s="6" t="s">
        <v>34</v>
      </c>
      <c r="C70" s="30">
        <f>(C60+2249.2)/6036.4</f>
        <v>10.840269034523889</v>
      </c>
      <c r="D70" s="30">
        <f t="shared" si="6"/>
        <v>10.239082897090981</v>
      </c>
      <c r="E70" s="30">
        <f t="shared" ref="E70:I70" si="7">(E60+2249.2)/6036.4</f>
        <v>10.336823272148964</v>
      </c>
      <c r="F70" s="30">
        <f t="shared" si="7"/>
        <v>10.194519912530648</v>
      </c>
      <c r="G70" s="30">
        <f t="shared" si="7"/>
        <v>5.8916241468424886</v>
      </c>
      <c r="H70" s="30">
        <f t="shared" si="7"/>
        <v>10.21589026572129</v>
      </c>
      <c r="I70" s="30">
        <f t="shared" si="7"/>
        <v>17.316314359552052</v>
      </c>
      <c r="J70" s="30">
        <f t="shared" si="6"/>
        <v>14.515638460009278</v>
      </c>
      <c r="K70" s="30">
        <f t="shared" si="6"/>
        <v>15.016764959247235</v>
      </c>
      <c r="L70" s="30">
        <f t="shared" si="6"/>
        <v>15.575210390298855</v>
      </c>
      <c r="M70" s="30">
        <f t="shared" si="6"/>
        <v>15.150950897886158</v>
      </c>
      <c r="N70" s="30">
        <f t="shared" si="6"/>
        <v>16.059108077662184</v>
      </c>
    </row>
    <row r="71" spans="1:17" ht="14" x14ac:dyDescent="0.15">
      <c r="B71" s="6" t="s">
        <v>35</v>
      </c>
      <c r="C71" s="30"/>
      <c r="D71" s="30">
        <f t="shared" si="6"/>
        <v>16.745609966205024</v>
      </c>
      <c r="E71" s="30">
        <f t="shared" ref="E71:I71" si="8">(E61+2249.2)/6036.4</f>
        <v>16.155357497846399</v>
      </c>
      <c r="F71" s="30">
        <f t="shared" si="8"/>
        <v>14.235670267046585</v>
      </c>
      <c r="G71" s="30">
        <f t="shared" si="8"/>
        <v>15.357530978729045</v>
      </c>
      <c r="H71" s="30">
        <f t="shared" si="8"/>
        <v>16.118414949307535</v>
      </c>
      <c r="I71" s="30">
        <f t="shared" si="8"/>
        <v>14.82890464515274</v>
      </c>
      <c r="J71" s="30"/>
      <c r="K71" s="30"/>
      <c r="L71" s="30"/>
      <c r="M71" s="30"/>
      <c r="N71" s="30"/>
    </row>
    <row r="72" spans="1:17" ht="14" x14ac:dyDescent="0.15">
      <c r="B72" s="6" t="s">
        <v>36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1:17" ht="14" x14ac:dyDescent="0.15">
      <c r="B73" s="6" t="s">
        <v>37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spans="1:17" x14ac:dyDescent="0.15">
      <c r="Q74" t="s">
        <v>49</v>
      </c>
    </row>
    <row r="75" spans="1:17" ht="28" x14ac:dyDescent="0.15">
      <c r="B75" s="28" t="s">
        <v>51</v>
      </c>
      <c r="Q75" t="s">
        <v>50</v>
      </c>
    </row>
    <row r="76" spans="1:17" ht="28" x14ac:dyDescent="0.15">
      <c r="A76" s="31" t="s">
        <v>52</v>
      </c>
      <c r="B76" s="5" t="s">
        <v>53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1:17" ht="14" x14ac:dyDescent="0.15">
      <c r="B77" s="6" t="s">
        <v>31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 spans="1:17" ht="14" x14ac:dyDescent="0.15">
      <c r="B78" s="6" t="s">
        <v>32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spans="1:17" ht="14" x14ac:dyDescent="0.15">
      <c r="B79" s="6" t="s">
        <v>33</v>
      </c>
      <c r="C79" s="30">
        <f>(C69/25)*500</f>
        <v>216.97766880922407</v>
      </c>
      <c r="D79" s="30">
        <f t="shared" ref="D79:N81" si="9">(D69/25)*500</f>
        <v>129.10741501557217</v>
      </c>
      <c r="E79" s="30">
        <f t="shared" si="9"/>
        <v>211.65992975945929</v>
      </c>
      <c r="F79" s="30">
        <f t="shared" si="9"/>
        <v>190.14048108143928</v>
      </c>
      <c r="G79" s="30">
        <f t="shared" si="9"/>
        <v>218.01802398780728</v>
      </c>
      <c r="H79" s="30">
        <f t="shared" si="9"/>
        <v>133.70949572592934</v>
      </c>
      <c r="I79" s="30">
        <f t="shared" si="9"/>
        <v>230.87999469882712</v>
      </c>
      <c r="J79" s="30">
        <f t="shared" si="9"/>
        <v>246.00821681797098</v>
      </c>
      <c r="K79" s="30">
        <f t="shared" si="9"/>
        <v>237.45013584255517</v>
      </c>
      <c r="L79" s="30">
        <f t="shared" si="9"/>
        <v>230.36644357564109</v>
      </c>
      <c r="M79" s="30">
        <f t="shared" si="9"/>
        <v>248.12205950566565</v>
      </c>
      <c r="N79" s="30">
        <f t="shared" si="9"/>
        <v>224.97581339871448</v>
      </c>
    </row>
    <row r="80" spans="1:17" ht="14" x14ac:dyDescent="0.15">
      <c r="B80" s="6" t="s">
        <v>34</v>
      </c>
      <c r="C80" s="30">
        <f>(C70/25)*500</f>
        <v>216.80538069047779</v>
      </c>
      <c r="D80" s="30">
        <f t="shared" si="9"/>
        <v>204.78165794181962</v>
      </c>
      <c r="E80" s="30">
        <f t="shared" ref="E80:I80" si="10">(E70/25)*500</f>
        <v>206.73646544297927</v>
      </c>
      <c r="F80" s="30">
        <f t="shared" si="10"/>
        <v>203.89039825061295</v>
      </c>
      <c r="G80" s="30">
        <f t="shared" si="10"/>
        <v>117.83248293684977</v>
      </c>
      <c r="H80" s="30">
        <f t="shared" si="10"/>
        <v>204.31780531442581</v>
      </c>
      <c r="I80" s="30">
        <f t="shared" si="10"/>
        <v>346.32628719104105</v>
      </c>
      <c r="J80" s="30">
        <f t="shared" si="9"/>
        <v>290.31276920018558</v>
      </c>
      <c r="K80" s="30">
        <f t="shared" si="9"/>
        <v>300.33529918494469</v>
      </c>
      <c r="L80" s="30">
        <f t="shared" si="9"/>
        <v>311.5042078059771</v>
      </c>
      <c r="M80" s="30">
        <f t="shared" si="9"/>
        <v>303.01901795772318</v>
      </c>
      <c r="N80" s="30">
        <f t="shared" si="9"/>
        <v>321.1821615532437</v>
      </c>
    </row>
    <row r="81" spans="2:14" ht="14" x14ac:dyDescent="0.15">
      <c r="B81" s="6" t="s">
        <v>35</v>
      </c>
      <c r="C81" s="30"/>
      <c r="D81" s="30">
        <f t="shared" si="9"/>
        <v>334.91219932410047</v>
      </c>
      <c r="E81" s="30">
        <f t="shared" ref="E81:I81" si="11">(E71/25)*500</f>
        <v>323.10714995692797</v>
      </c>
      <c r="F81" s="30">
        <f t="shared" si="11"/>
        <v>284.71340534093173</v>
      </c>
      <c r="G81" s="30">
        <f t="shared" si="11"/>
        <v>307.1506195745809</v>
      </c>
      <c r="H81" s="30">
        <f t="shared" si="11"/>
        <v>322.36829898615071</v>
      </c>
      <c r="I81" s="30">
        <f t="shared" si="11"/>
        <v>296.57809290305482</v>
      </c>
      <c r="J81" s="30"/>
      <c r="K81" s="30"/>
      <c r="L81" s="30"/>
      <c r="M81" s="30"/>
      <c r="N81" s="30"/>
    </row>
    <row r="82" spans="2:14" ht="14" x14ac:dyDescent="0.15">
      <c r="B82" s="6" t="s">
        <v>36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2:14" ht="14" x14ac:dyDescent="0.15">
      <c r="B83" s="6" t="s">
        <v>37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6" spans="2:14" ht="70" x14ac:dyDescent="0.15">
      <c r="B86" s="28" t="s">
        <v>54</v>
      </c>
      <c r="C86" s="31" t="s">
        <v>55</v>
      </c>
    </row>
    <row r="87" spans="2:14" ht="28" x14ac:dyDescent="0.15">
      <c r="B87" s="5" t="s">
        <v>53</v>
      </c>
      <c r="C87" s="32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 spans="2:14" ht="14" x14ac:dyDescent="0.15">
      <c r="B88" s="6" t="s">
        <v>31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spans="2:14" ht="14" x14ac:dyDescent="0.15">
      <c r="B89" s="6" t="s">
        <v>32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 spans="2:14" ht="14" x14ac:dyDescent="0.15">
      <c r="B90" s="6" t="s">
        <v>33</v>
      </c>
      <c r="C90" s="30">
        <f>C79*4</f>
        <v>867.91067523689628</v>
      </c>
      <c r="D90" s="30">
        <f t="shared" ref="D90:N92" si="12">D79*4</f>
        <v>516.42966006228869</v>
      </c>
      <c r="E90" s="30">
        <f t="shared" si="12"/>
        <v>846.63971903783715</v>
      </c>
      <c r="F90" s="30">
        <f t="shared" si="12"/>
        <v>760.5619243257571</v>
      </c>
      <c r="G90" s="30">
        <f t="shared" si="12"/>
        <v>872.07209595122913</v>
      </c>
      <c r="H90" s="30">
        <f t="shared" si="12"/>
        <v>534.83798290371737</v>
      </c>
      <c r="I90" s="30">
        <f t="shared" si="12"/>
        <v>923.51997879530848</v>
      </c>
      <c r="J90" s="30">
        <f t="shared" si="12"/>
        <v>984.0328672718839</v>
      </c>
      <c r="K90" s="30">
        <f t="shared" si="12"/>
        <v>949.80054337022068</v>
      </c>
      <c r="L90" s="30">
        <f t="shared" si="12"/>
        <v>921.46577430256434</v>
      </c>
      <c r="M90" s="30">
        <f t="shared" si="12"/>
        <v>992.48823802266259</v>
      </c>
      <c r="N90" s="30">
        <f t="shared" si="12"/>
        <v>899.90325359485792</v>
      </c>
    </row>
    <row r="91" spans="2:14" ht="14" x14ac:dyDescent="0.15">
      <c r="B91" s="6" t="s">
        <v>34</v>
      </c>
      <c r="C91" s="30">
        <f>C80*4</f>
        <v>867.22152276191116</v>
      </c>
      <c r="D91" s="30">
        <f t="shared" si="12"/>
        <v>819.12663176727847</v>
      </c>
      <c r="E91" s="30">
        <f t="shared" ref="E91:I91" si="13">E80*4</f>
        <v>826.94586177191707</v>
      </c>
      <c r="F91" s="30">
        <f t="shared" si="13"/>
        <v>815.56159300245179</v>
      </c>
      <c r="G91" s="30">
        <f t="shared" si="13"/>
        <v>471.32993174739909</v>
      </c>
      <c r="H91" s="30">
        <f t="shared" si="13"/>
        <v>817.27122125770325</v>
      </c>
      <c r="I91" s="30">
        <f t="shared" si="13"/>
        <v>1385.3051487641642</v>
      </c>
      <c r="J91" s="30">
        <f t="shared" si="12"/>
        <v>1161.2510768007423</v>
      </c>
      <c r="K91" s="30">
        <f t="shared" si="12"/>
        <v>1201.3411967397788</v>
      </c>
      <c r="L91" s="30">
        <f t="shared" si="12"/>
        <v>1246.0168312239084</v>
      </c>
      <c r="M91" s="30">
        <f t="shared" si="12"/>
        <v>1212.0760718308927</v>
      </c>
      <c r="N91" s="30">
        <f t="shared" si="12"/>
        <v>1284.7286462129748</v>
      </c>
    </row>
    <row r="92" spans="2:14" ht="14" x14ac:dyDescent="0.15">
      <c r="B92" s="6" t="s">
        <v>35</v>
      </c>
      <c r="C92" s="30"/>
      <c r="D92" s="30">
        <f t="shared" si="12"/>
        <v>1339.6487972964019</v>
      </c>
      <c r="E92" s="30">
        <f t="shared" ref="E92:I92" si="14">E81*4</f>
        <v>1292.4285998277119</v>
      </c>
      <c r="F92" s="30">
        <f t="shared" si="14"/>
        <v>1138.8536213637269</v>
      </c>
      <c r="G92" s="30">
        <f t="shared" si="14"/>
        <v>1228.6024782983236</v>
      </c>
      <c r="H92" s="30">
        <f t="shared" si="14"/>
        <v>1289.4731959446028</v>
      </c>
      <c r="I92" s="30">
        <f t="shared" si="14"/>
        <v>1186.3123716122193</v>
      </c>
      <c r="J92" s="30"/>
      <c r="K92" s="30"/>
      <c r="L92" s="30"/>
      <c r="M92" s="30"/>
      <c r="N92" s="30"/>
    </row>
    <row r="93" spans="2:14" ht="14" x14ac:dyDescent="0.15">
      <c r="B93" s="6" t="s">
        <v>36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 spans="2:14" ht="14" x14ac:dyDescent="0.15">
      <c r="B94" s="6" t="s">
        <v>37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6" spans="2:14" ht="28" x14ac:dyDescent="0.15">
      <c r="B96" s="28" t="s">
        <v>57</v>
      </c>
    </row>
    <row r="97" spans="1:31" ht="28" x14ac:dyDescent="0.15">
      <c r="B97" s="5" t="s">
        <v>56</v>
      </c>
      <c r="C97" s="32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31" ht="14" x14ac:dyDescent="0.15">
      <c r="B98" s="6" t="s">
        <v>31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 spans="1:31" ht="14" x14ac:dyDescent="0.15">
      <c r="B99" s="6" t="s">
        <v>32</v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 spans="1:31" ht="14" x14ac:dyDescent="0.15">
      <c r="B100" s="6" t="s">
        <v>33</v>
      </c>
      <c r="C100" s="30">
        <f>C90/150</f>
        <v>5.7860711682459751</v>
      </c>
      <c r="D100" s="30">
        <f t="shared" ref="D100:N102" si="15">D90/150</f>
        <v>3.442864400415258</v>
      </c>
      <c r="E100" s="30">
        <f t="shared" si="15"/>
        <v>5.644264793585581</v>
      </c>
      <c r="F100" s="30">
        <f t="shared" si="15"/>
        <v>5.0704128288383803</v>
      </c>
      <c r="G100" s="30">
        <f t="shared" si="15"/>
        <v>5.8138139730081946</v>
      </c>
      <c r="H100" s="30">
        <f t="shared" si="15"/>
        <v>3.5655865526914492</v>
      </c>
      <c r="I100" s="30">
        <f t="shared" si="15"/>
        <v>6.1567998586353898</v>
      </c>
      <c r="J100" s="30">
        <f t="shared" si="15"/>
        <v>6.5602191151458928</v>
      </c>
      <c r="K100" s="30">
        <f t="shared" si="15"/>
        <v>6.3320036224681377</v>
      </c>
      <c r="L100" s="30">
        <f t="shared" si="15"/>
        <v>6.143105162017096</v>
      </c>
      <c r="M100" s="30">
        <f t="shared" si="15"/>
        <v>6.6165882534844176</v>
      </c>
      <c r="N100" s="30">
        <f t="shared" si="15"/>
        <v>5.9993550239657196</v>
      </c>
    </row>
    <row r="101" spans="1:31" ht="14" x14ac:dyDescent="0.15">
      <c r="B101" s="6" t="s">
        <v>34</v>
      </c>
      <c r="C101" s="30">
        <f>C91/150</f>
        <v>5.7814768184127407</v>
      </c>
      <c r="D101" s="30">
        <f t="shared" si="15"/>
        <v>5.4608442117818567</v>
      </c>
      <c r="E101" s="30">
        <f t="shared" ref="E101:I101" si="16">E91/150</f>
        <v>5.5129724118127807</v>
      </c>
      <c r="F101" s="30">
        <f t="shared" si="16"/>
        <v>5.4370772866830119</v>
      </c>
      <c r="G101" s="30">
        <f t="shared" si="16"/>
        <v>3.1421995449826605</v>
      </c>
      <c r="H101" s="30">
        <f t="shared" si="16"/>
        <v>5.4484748083846881</v>
      </c>
      <c r="I101" s="30">
        <f t="shared" si="16"/>
        <v>9.2353676584277604</v>
      </c>
      <c r="J101" s="30">
        <f t="shared" si="15"/>
        <v>7.7416738453382825</v>
      </c>
      <c r="K101" s="30">
        <f t="shared" si="15"/>
        <v>8.0089413115985248</v>
      </c>
      <c r="L101" s="30">
        <f t="shared" si="15"/>
        <v>8.3067788748260565</v>
      </c>
      <c r="M101" s="30">
        <f t="shared" si="15"/>
        <v>8.0805071455392845</v>
      </c>
      <c r="N101" s="30">
        <f t="shared" si="15"/>
        <v>8.5648576414198327</v>
      </c>
    </row>
    <row r="102" spans="1:31" ht="14" x14ac:dyDescent="0.15">
      <c r="B102" s="6" t="s">
        <v>35</v>
      </c>
      <c r="C102" s="30"/>
      <c r="D102" s="30">
        <f t="shared" si="15"/>
        <v>8.9309919819760122</v>
      </c>
      <c r="E102" s="30">
        <f t="shared" ref="E102:I102" si="17">E92/150</f>
        <v>8.6161906655180793</v>
      </c>
      <c r="F102" s="30">
        <f t="shared" si="17"/>
        <v>7.5923574757581793</v>
      </c>
      <c r="G102" s="30">
        <f t="shared" si="17"/>
        <v>8.1906831886554912</v>
      </c>
      <c r="H102" s="30">
        <f t="shared" si="17"/>
        <v>8.5964879729640185</v>
      </c>
      <c r="I102" s="30">
        <f t="shared" si="17"/>
        <v>7.9087491440814617</v>
      </c>
      <c r="J102" s="30"/>
      <c r="K102" s="30"/>
      <c r="L102" s="30"/>
      <c r="M102" s="30"/>
      <c r="N102" s="30"/>
    </row>
    <row r="103" spans="1:31" ht="14" x14ac:dyDescent="0.15">
      <c r="B103" s="6" t="s">
        <v>36</v>
      </c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 spans="1:31" ht="14" x14ac:dyDescent="0.15">
      <c r="B104" s="6" t="s">
        <v>37</v>
      </c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7" spans="1:31" ht="14" x14ac:dyDescent="0.15">
      <c r="A107" s="28" t="s">
        <v>58</v>
      </c>
      <c r="B107" s="33">
        <v>0</v>
      </c>
      <c r="C107" s="33"/>
      <c r="D107" s="33"/>
      <c r="E107" s="33"/>
      <c r="F107" s="33"/>
      <c r="H107" s="35">
        <v>10</v>
      </c>
      <c r="I107" s="35"/>
      <c r="J107" s="35"/>
      <c r="K107" s="35"/>
      <c r="L107" s="35"/>
      <c r="M107" s="35"/>
      <c r="N107" s="35">
        <v>20</v>
      </c>
      <c r="O107" s="35"/>
      <c r="P107" s="35"/>
      <c r="Q107" s="35"/>
      <c r="R107" s="35"/>
      <c r="S107" s="35"/>
      <c r="T107" s="35">
        <v>50</v>
      </c>
      <c r="U107" s="35"/>
      <c r="V107" s="35"/>
      <c r="W107" s="35"/>
      <c r="X107" s="35"/>
      <c r="Y107" s="35"/>
      <c r="Z107" s="35">
        <v>100</v>
      </c>
      <c r="AA107" s="35"/>
      <c r="AB107" s="35"/>
      <c r="AC107" s="35"/>
      <c r="AD107" s="35"/>
      <c r="AE107" s="35"/>
    </row>
    <row r="108" spans="1:31" ht="14" x14ac:dyDescent="0.15">
      <c r="A108" s="28" t="s">
        <v>59</v>
      </c>
      <c r="B108">
        <v>1</v>
      </c>
      <c r="C108">
        <v>2</v>
      </c>
      <c r="D108">
        <v>3</v>
      </c>
      <c r="E108">
        <v>4</v>
      </c>
      <c r="F108">
        <v>5</v>
      </c>
      <c r="G108">
        <v>6</v>
      </c>
      <c r="H108">
        <v>1</v>
      </c>
      <c r="I108">
        <v>2</v>
      </c>
      <c r="J108">
        <v>3</v>
      </c>
      <c r="K108">
        <v>4</v>
      </c>
      <c r="L108">
        <v>5</v>
      </c>
      <c r="M108">
        <v>6</v>
      </c>
      <c r="N108">
        <v>1</v>
      </c>
      <c r="O108">
        <v>2</v>
      </c>
      <c r="P108">
        <v>3</v>
      </c>
      <c r="Q108">
        <v>4</v>
      </c>
      <c r="R108">
        <v>5</v>
      </c>
      <c r="S108">
        <v>6</v>
      </c>
      <c r="T108">
        <v>1</v>
      </c>
      <c r="U108">
        <v>2</v>
      </c>
      <c r="V108">
        <v>3</v>
      </c>
      <c r="W108">
        <v>4</v>
      </c>
      <c r="X108">
        <v>5</v>
      </c>
      <c r="Y108">
        <v>6</v>
      </c>
      <c r="Z108">
        <v>1</v>
      </c>
      <c r="AA108">
        <v>2</v>
      </c>
      <c r="AB108">
        <v>3</v>
      </c>
      <c r="AC108">
        <v>4</v>
      </c>
      <c r="AD108">
        <v>5</v>
      </c>
      <c r="AE108">
        <v>6</v>
      </c>
    </row>
    <row r="109" spans="1:31" ht="14" x14ac:dyDescent="0.15">
      <c r="A109" s="28" t="s">
        <v>60</v>
      </c>
      <c r="B109">
        <v>5.7860711682459751</v>
      </c>
      <c r="C109">
        <v>3.442864400415258</v>
      </c>
      <c r="D109">
        <v>5.644264793585581</v>
      </c>
      <c r="E109">
        <v>5.0704128288383803</v>
      </c>
      <c r="F109">
        <v>5.8138139730081946</v>
      </c>
      <c r="G109">
        <v>3.5655865526914492</v>
      </c>
      <c r="H109">
        <v>6.1567998586353898</v>
      </c>
      <c r="I109">
        <v>6.5602191151458928</v>
      </c>
      <c r="J109">
        <v>6.3320036224681377</v>
      </c>
      <c r="K109">
        <v>6.143105162017096</v>
      </c>
      <c r="L109">
        <v>6.6165882534844176</v>
      </c>
      <c r="M109">
        <v>5.9993550239657196</v>
      </c>
      <c r="N109">
        <v>5.7814768184127407</v>
      </c>
      <c r="O109">
        <v>5.4608442117818567</v>
      </c>
      <c r="P109">
        <v>5.5129724118127807</v>
      </c>
      <c r="Q109">
        <v>5.4370772866830119</v>
      </c>
      <c r="R109">
        <v>3.1421995449826605</v>
      </c>
      <c r="S109">
        <v>5.4484748083846881</v>
      </c>
      <c r="T109">
        <v>9.2353676584277604</v>
      </c>
      <c r="U109">
        <v>7.7416738453382825</v>
      </c>
      <c r="V109">
        <v>8.0089413115985248</v>
      </c>
      <c r="W109">
        <v>8.3067788748260565</v>
      </c>
      <c r="X109">
        <v>8.0805071455392845</v>
      </c>
      <c r="Y109">
        <v>8.5648576414198327</v>
      </c>
      <c r="Z109">
        <v>8.9309919819760122</v>
      </c>
      <c r="AA109">
        <v>8.6161906655180793</v>
      </c>
      <c r="AB109">
        <v>7.5923574757581793</v>
      </c>
      <c r="AC109">
        <v>8.1906831886554912</v>
      </c>
      <c r="AD109">
        <v>8.5964879729640185</v>
      </c>
      <c r="AE109">
        <v>7.9087491440814617</v>
      </c>
    </row>
    <row r="113" spans="2:11" ht="28" x14ac:dyDescent="0.15">
      <c r="B113" s="28" t="s">
        <v>58</v>
      </c>
      <c r="C113" s="28" t="s">
        <v>59</v>
      </c>
      <c r="D113" s="28" t="s">
        <v>60</v>
      </c>
      <c r="E113" s="28" t="s">
        <v>61</v>
      </c>
      <c r="F113" s="28" t="s">
        <v>62</v>
      </c>
      <c r="G113" s="28" t="s">
        <v>63</v>
      </c>
      <c r="I113" s="29" t="s">
        <v>58</v>
      </c>
      <c r="J113" s="29" t="s">
        <v>64</v>
      </c>
      <c r="K113" s="29" t="s">
        <v>65</v>
      </c>
    </row>
    <row r="114" spans="2:11" x14ac:dyDescent="0.15">
      <c r="B114" s="33">
        <v>0</v>
      </c>
      <c r="C114">
        <v>1</v>
      </c>
      <c r="D114">
        <v>5.7860711682459751</v>
      </c>
      <c r="E114">
        <f>AVERAGE(D114:D119)</f>
        <v>4.8871689527974729</v>
      </c>
      <c r="F114">
        <f>STDEVA(D114:D119)</f>
        <v>1.105085000981072</v>
      </c>
      <c r="I114" s="34">
        <v>0</v>
      </c>
      <c r="J114" s="34">
        <v>4.8871689527974729</v>
      </c>
      <c r="K114" s="34">
        <v>1.105085000981072</v>
      </c>
    </row>
    <row r="115" spans="2:11" x14ac:dyDescent="0.15">
      <c r="B115" s="33"/>
      <c r="C115">
        <v>2</v>
      </c>
      <c r="D115">
        <v>3.442864400415258</v>
      </c>
      <c r="I115" s="34">
        <v>10</v>
      </c>
      <c r="J115" s="34">
        <v>6.3013451726194427</v>
      </c>
      <c r="K115" s="34">
        <v>0.24676513422022606</v>
      </c>
    </row>
    <row r="116" spans="2:11" x14ac:dyDescent="0.15">
      <c r="B116" s="33"/>
      <c r="C116">
        <v>3</v>
      </c>
      <c r="D116">
        <v>5.644264793585581</v>
      </c>
      <c r="I116" s="34">
        <v>20</v>
      </c>
      <c r="J116" s="34">
        <v>5.1305075136762897</v>
      </c>
      <c r="K116" s="34">
        <v>0.98261076451736784</v>
      </c>
    </row>
    <row r="117" spans="2:11" x14ac:dyDescent="0.15">
      <c r="B117" s="33"/>
      <c r="C117">
        <v>4</v>
      </c>
      <c r="D117">
        <v>5.0704128288383803</v>
      </c>
      <c r="I117" s="34">
        <v>50</v>
      </c>
      <c r="J117" s="34">
        <v>8.323021079524958</v>
      </c>
      <c r="K117" s="34">
        <v>0.52660207508377499</v>
      </c>
    </row>
    <row r="118" spans="2:11" x14ac:dyDescent="0.15">
      <c r="B118" s="33"/>
      <c r="C118">
        <v>5</v>
      </c>
      <c r="D118">
        <v>5.8138139730081946</v>
      </c>
      <c r="I118" s="34">
        <v>100</v>
      </c>
      <c r="J118" s="34">
        <v>8.3059100714922067</v>
      </c>
      <c r="K118" s="34">
        <v>0.50032155706819037</v>
      </c>
    </row>
    <row r="119" spans="2:11" x14ac:dyDescent="0.15">
      <c r="C119">
        <v>6</v>
      </c>
      <c r="D119">
        <v>3.5655865526914492</v>
      </c>
    </row>
    <row r="120" spans="2:11" x14ac:dyDescent="0.15">
      <c r="B120" s="35">
        <v>10</v>
      </c>
      <c r="C120">
        <v>1</v>
      </c>
      <c r="D120">
        <v>6.1567998586353898</v>
      </c>
      <c r="E120">
        <f>AVERAGE(D120:D125)</f>
        <v>6.3013451726194427</v>
      </c>
      <c r="F120">
        <f>STDEVA(D120:D125)</f>
        <v>0.24676513422022606</v>
      </c>
      <c r="G120">
        <f>_xlfn.T.TEST(D120:D125,D114:D119,2,3)</f>
        <v>2.487796112965833E-2</v>
      </c>
    </row>
    <row r="121" spans="2:11" x14ac:dyDescent="0.15">
      <c r="B121" s="35"/>
      <c r="C121">
        <v>2</v>
      </c>
      <c r="D121">
        <v>6.5602191151458928</v>
      </c>
    </row>
    <row r="122" spans="2:11" x14ac:dyDescent="0.15">
      <c r="B122" s="35"/>
      <c r="C122">
        <v>3</v>
      </c>
      <c r="D122">
        <v>6.3320036224681377</v>
      </c>
    </row>
    <row r="123" spans="2:11" x14ac:dyDescent="0.15">
      <c r="B123" s="35"/>
      <c r="C123">
        <v>4</v>
      </c>
      <c r="D123">
        <v>6.143105162017096</v>
      </c>
    </row>
    <row r="124" spans="2:11" x14ac:dyDescent="0.15">
      <c r="B124" s="35"/>
      <c r="C124">
        <v>5</v>
      </c>
      <c r="D124">
        <v>6.6165882534844176</v>
      </c>
    </row>
    <row r="125" spans="2:11" x14ac:dyDescent="0.15">
      <c r="B125" s="35"/>
      <c r="C125">
        <v>6</v>
      </c>
      <c r="D125">
        <v>5.9993550239657196</v>
      </c>
    </row>
    <row r="126" spans="2:11" x14ac:dyDescent="0.15">
      <c r="B126" s="35">
        <v>20</v>
      </c>
      <c r="C126">
        <v>1</v>
      </c>
      <c r="D126">
        <v>5.7814768184127407</v>
      </c>
      <c r="E126">
        <f>AVERAGE(D126:D131)</f>
        <v>5.1305075136762897</v>
      </c>
      <c r="F126">
        <f>STDEVA(D126:D131)</f>
        <v>0.98261076451736784</v>
      </c>
      <c r="G126">
        <f>_xlfn.T.TEST(D126:D131,D114:D119,2,3)</f>
        <v>0.6954882655807697</v>
      </c>
    </row>
    <row r="127" spans="2:11" x14ac:dyDescent="0.15">
      <c r="B127" s="35"/>
      <c r="C127">
        <v>2</v>
      </c>
      <c r="D127">
        <v>5.4608442117818567</v>
      </c>
    </row>
    <row r="128" spans="2:11" x14ac:dyDescent="0.15">
      <c r="B128" s="35"/>
      <c r="C128">
        <v>3</v>
      </c>
      <c r="D128">
        <v>5.5129724118127807</v>
      </c>
    </row>
    <row r="129" spans="2:7" x14ac:dyDescent="0.15">
      <c r="B129" s="35"/>
      <c r="C129">
        <v>4</v>
      </c>
      <c r="D129">
        <v>5.4370772866830119</v>
      </c>
    </row>
    <row r="130" spans="2:7" x14ac:dyDescent="0.15">
      <c r="B130" s="35"/>
      <c r="C130">
        <v>5</v>
      </c>
      <c r="D130">
        <v>3.1421995449826605</v>
      </c>
    </row>
    <row r="131" spans="2:7" x14ac:dyDescent="0.15">
      <c r="B131" s="35"/>
      <c r="C131">
        <v>6</v>
      </c>
      <c r="D131">
        <v>5.4484748083846881</v>
      </c>
    </row>
    <row r="132" spans="2:7" x14ac:dyDescent="0.15">
      <c r="B132" s="35">
        <v>50</v>
      </c>
      <c r="C132">
        <v>1</v>
      </c>
      <c r="D132">
        <v>9.2353676584277604</v>
      </c>
      <c r="E132">
        <f>AVERAGE(D132:D137)</f>
        <v>8.323021079524958</v>
      </c>
      <c r="F132">
        <f>STDEVA(D132:D137)</f>
        <v>0.52660207508377499</v>
      </c>
      <c r="G132" s="23">
        <f>_xlfn.T.TEST(D132:D137,D114:D119,2,3)</f>
        <v>2.1358515180274897E-4</v>
      </c>
    </row>
    <row r="133" spans="2:7" x14ac:dyDescent="0.15">
      <c r="B133" s="35"/>
      <c r="C133">
        <v>2</v>
      </c>
      <c r="D133">
        <v>7.7416738453382825</v>
      </c>
    </row>
    <row r="134" spans="2:7" x14ac:dyDescent="0.15">
      <c r="B134" s="35"/>
      <c r="C134">
        <v>3</v>
      </c>
      <c r="D134">
        <v>8.0089413115985248</v>
      </c>
    </row>
    <row r="135" spans="2:7" x14ac:dyDescent="0.15">
      <c r="B135" s="35"/>
      <c r="C135">
        <v>4</v>
      </c>
      <c r="D135">
        <v>8.3067788748260565</v>
      </c>
    </row>
    <row r="136" spans="2:7" x14ac:dyDescent="0.15">
      <c r="B136" s="35"/>
      <c r="C136">
        <v>5</v>
      </c>
      <c r="D136">
        <v>8.0805071455392845</v>
      </c>
    </row>
    <row r="137" spans="2:7" x14ac:dyDescent="0.15">
      <c r="B137" s="35"/>
      <c r="C137">
        <v>6</v>
      </c>
      <c r="D137">
        <v>8.5648576414198327</v>
      </c>
    </row>
    <row r="138" spans="2:7" x14ac:dyDescent="0.15">
      <c r="B138" s="35">
        <v>100</v>
      </c>
      <c r="C138">
        <v>1</v>
      </c>
      <c r="D138">
        <v>8.9309919819760122</v>
      </c>
      <c r="E138">
        <f>AVERAGE(D138:D143)</f>
        <v>8.3059100714922067</v>
      </c>
      <c r="F138">
        <f>STDEVA(D138:D143)</f>
        <v>0.50032155706819037</v>
      </c>
      <c r="G138" s="23">
        <f>_xlfn.T.TEST(D138:D143,D114:D119,2,3)</f>
        <v>2.3562838891287943E-4</v>
      </c>
    </row>
    <row r="139" spans="2:7" x14ac:dyDescent="0.15">
      <c r="B139" s="35"/>
      <c r="C139">
        <v>2</v>
      </c>
      <c r="D139">
        <v>8.6161906655180793</v>
      </c>
    </row>
    <row r="140" spans="2:7" x14ac:dyDescent="0.15">
      <c r="B140" s="35"/>
      <c r="C140">
        <v>3</v>
      </c>
      <c r="D140">
        <v>7.5923574757581793</v>
      </c>
    </row>
    <row r="141" spans="2:7" x14ac:dyDescent="0.15">
      <c r="B141" s="35"/>
      <c r="C141">
        <v>4</v>
      </c>
      <c r="D141">
        <v>8.1906831886554912</v>
      </c>
    </row>
    <row r="142" spans="2:7" x14ac:dyDescent="0.15">
      <c r="B142" s="35"/>
      <c r="C142">
        <v>5</v>
      </c>
      <c r="D142">
        <v>8.5964879729640185</v>
      </c>
    </row>
    <row r="143" spans="2:7" x14ac:dyDescent="0.15">
      <c r="B143" s="35"/>
      <c r="C143">
        <v>6</v>
      </c>
      <c r="D143">
        <v>7.9087491440814617</v>
      </c>
    </row>
  </sheetData>
  <mergeCells count="8">
    <mergeCell ref="B138:B143"/>
    <mergeCell ref="H107:M107"/>
    <mergeCell ref="N107:S107"/>
    <mergeCell ref="T107:Y107"/>
    <mergeCell ref="Z107:AE107"/>
    <mergeCell ref="B120:B125"/>
    <mergeCell ref="B126:B131"/>
    <mergeCell ref="B132:B137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Schenck, Craig</cp:lastModifiedBy>
  <dcterms:created xsi:type="dcterms:W3CDTF">2011-01-18T20:51:17Z</dcterms:created>
  <dcterms:modified xsi:type="dcterms:W3CDTF">2026-09-21T14:22:13Z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