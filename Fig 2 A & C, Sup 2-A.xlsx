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cas28y_umsystem_edu/Documents/Writing/Papers/Aze phentypic response_Asha/data for ANOVA tests/"/>
    </mc:Choice>
  </mc:AlternateContent>
  <xr:revisionPtr revIDLastSave="10" documentId="13_ncr:1_{BF581C0A-76F6-453A-AF87-768F73F51AD8}" xr6:coauthVersionLast="47" xr6:coauthVersionMax="47" xr10:uidLastSave="{1EA520CC-5AAC-EB45-BE87-F94C07E9AF8F}"/>
  <bookViews>
    <workbookView xWindow="41220" yWindow="460" windowWidth="22620" windowHeight="13500" activeTab="1" xr2:uid="{B9378BE2-8CD9-42C7-B019-DB99A47FF3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P14" i="2"/>
  <c r="F47" i="2"/>
  <c r="F43" i="2"/>
  <c r="E47" i="2"/>
  <c r="D47" i="2"/>
  <c r="E43" i="2"/>
  <c r="D43" i="2"/>
  <c r="E39" i="2"/>
  <c r="D39" i="2"/>
  <c r="S21" i="2"/>
  <c r="J17" i="2"/>
  <c r="I17" i="2"/>
  <c r="J16" i="2"/>
  <c r="I16" i="2"/>
  <c r="J15" i="2"/>
  <c r="I15" i="2"/>
  <c r="J14" i="2"/>
  <c r="T21" i="2" s="1"/>
  <c r="I14" i="2"/>
  <c r="L14" i="2" s="1"/>
  <c r="J13" i="2"/>
  <c r="I13" i="2"/>
  <c r="J12" i="2"/>
  <c r="I12" i="2"/>
  <c r="J11" i="2"/>
  <c r="I11" i="2"/>
  <c r="J10" i="2"/>
  <c r="Q21" i="2" s="1"/>
  <c r="I10" i="2"/>
  <c r="P21" i="2" s="1"/>
  <c r="J9" i="2"/>
  <c r="I9" i="2"/>
  <c r="K9" i="2" s="1"/>
  <c r="J8" i="2"/>
  <c r="K8" i="2"/>
  <c r="J7" i="2"/>
  <c r="I7" i="2"/>
  <c r="J6" i="2"/>
  <c r="I6" i="2"/>
  <c r="O10" i="1"/>
  <c r="M14" i="1"/>
  <c r="M10" i="1"/>
  <c r="E47" i="1"/>
  <c r="E43" i="1"/>
  <c r="E39" i="1"/>
  <c r="D47" i="1"/>
  <c r="D43" i="1"/>
  <c r="D39" i="1"/>
  <c r="J7" i="1"/>
  <c r="J8" i="1"/>
  <c r="J9" i="1"/>
  <c r="J10" i="1"/>
  <c r="N10" i="1" s="1"/>
  <c r="J11" i="1"/>
  <c r="J12" i="1"/>
  <c r="J13" i="1"/>
  <c r="J14" i="1"/>
  <c r="S21" i="1" s="1"/>
  <c r="J15" i="1"/>
  <c r="J16" i="1"/>
  <c r="J17" i="1"/>
  <c r="J6" i="1"/>
  <c r="M21" i="1" s="1"/>
  <c r="I7" i="1"/>
  <c r="K7" i="1" s="1"/>
  <c r="I8" i="1"/>
  <c r="K8" i="1" s="1"/>
  <c r="I9" i="1"/>
  <c r="K9" i="1" s="1"/>
  <c r="I10" i="1"/>
  <c r="L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6" i="1"/>
  <c r="L21" i="1" s="1"/>
  <c r="K6" i="2" l="1"/>
  <c r="M21" i="2"/>
  <c r="N6" i="2"/>
  <c r="K13" i="2"/>
  <c r="N21" i="2"/>
  <c r="P14" i="1"/>
  <c r="T21" i="1"/>
  <c r="Q14" i="1"/>
  <c r="L6" i="1"/>
  <c r="L14" i="1"/>
  <c r="P21" i="1"/>
  <c r="N6" i="1"/>
  <c r="R21" i="1"/>
  <c r="O14" i="1"/>
  <c r="K10" i="1"/>
  <c r="O21" i="1"/>
  <c r="N14" i="1"/>
  <c r="K6" i="1"/>
  <c r="K17" i="2"/>
  <c r="N14" i="2"/>
  <c r="K15" i="2"/>
  <c r="K7" i="2"/>
  <c r="P6" i="2" s="1"/>
  <c r="O14" i="2"/>
  <c r="N10" i="2"/>
  <c r="K16" i="2"/>
  <c r="K11" i="2"/>
  <c r="L10" i="2"/>
  <c r="L6" i="2"/>
  <c r="K12" i="2"/>
  <c r="K10" i="2"/>
  <c r="M10" i="2"/>
  <c r="K14" i="2"/>
  <c r="O10" i="2"/>
  <c r="M14" i="2"/>
  <c r="U21" i="2" l="1"/>
  <c r="R21" i="2"/>
  <c r="O21" i="2"/>
  <c r="P10" i="1"/>
  <c r="Q21" i="1"/>
  <c r="Q10" i="1"/>
  <c r="P6" i="1"/>
  <c r="N21" i="1"/>
  <c r="Q14" i="2"/>
  <c r="P10" i="2"/>
  <c r="Q10" i="2"/>
</calcChain>
</file>

<file path=xl/sharedStrings.xml><?xml version="1.0" encoding="utf-8"?>
<sst xmlns="http://schemas.openxmlformats.org/spreadsheetml/2006/main" count="91" uniqueCount="27">
  <si>
    <t>Chlorophyll measurements</t>
  </si>
  <si>
    <t>646 Abs</t>
  </si>
  <si>
    <t>Aze concentration</t>
  </si>
  <si>
    <t>rep no</t>
  </si>
  <si>
    <t>Abs</t>
  </si>
  <si>
    <t>663 Abs</t>
  </si>
  <si>
    <t>Chl a</t>
  </si>
  <si>
    <t>Chl b</t>
  </si>
  <si>
    <t>Total</t>
  </si>
  <si>
    <t xml:space="preserve">Tissue weight </t>
  </si>
  <si>
    <t>5 mg</t>
  </si>
  <si>
    <t>ug/ml</t>
  </si>
  <si>
    <t>Average</t>
  </si>
  <si>
    <t>std</t>
  </si>
  <si>
    <t>Anthocyanin concentration</t>
  </si>
  <si>
    <t>530 Abs</t>
  </si>
  <si>
    <t>Ave</t>
  </si>
  <si>
    <t>Std</t>
  </si>
  <si>
    <t>Aze Conc</t>
  </si>
  <si>
    <t>20uM</t>
  </si>
  <si>
    <t>100uM</t>
  </si>
  <si>
    <t>0uM</t>
  </si>
  <si>
    <t>t-test</t>
  </si>
  <si>
    <t>T-test</t>
  </si>
  <si>
    <t>Rep 1</t>
  </si>
  <si>
    <t>Extraction method was completely wrong here</t>
  </si>
  <si>
    <t>Rep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</si>
</sst>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Chlorophyll</a:t>
            </a:r>
            <a:r>
              <a:rPr lang="en-US" baseline="0"/>
              <a:t> </a:t>
            </a:r>
            <a:r>
              <a:rPr lang="en-US"/>
              <a:t>ug/mg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46-4D4F-A89D-023F46B6741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246-4D4F-A89D-023F46B6741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46-4D4F-A89D-023F46B6741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46-4D4F-A89D-023F46B6741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246-4D4F-A89D-023F46B6741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246-4D4F-A89D-023F46B67413}"/>
              </c:ext>
            </c:extLst>
          </c:dPt>
          <c:errBars>
            <c:errBarType val="both"/>
            <c:errValType val="cust"/>
            <c:noEndCap val="0"/>
            <c:plus>
              <c:numRef>
                <c:f>Sheet1!$L$21:$T$21</c:f>
                <c:numCache>
                  <c:formatCode>General</c:formatCode>
                  <c:ptCount val="9"/>
                  <c:pt idx="0">
                    <c:v>1.0181837592334078</c:v>
                  </c:pt>
                  <c:pt idx="1">
                    <c:v>0.29303234747492579</c:v>
                  </c:pt>
                  <c:pt idx="2">
                    <c:v>1.3104990259057778</c:v>
                  </c:pt>
                  <c:pt idx="3">
                    <c:v>1.0810148779850361</c:v>
                  </c:pt>
                  <c:pt idx="4">
                    <c:v>0.40030471206319862</c:v>
                  </c:pt>
                  <c:pt idx="5">
                    <c:v>1.4800229974874259</c:v>
                  </c:pt>
                  <c:pt idx="6">
                    <c:v>0.29698143627450141</c:v>
                  </c:pt>
                  <c:pt idx="7">
                    <c:v>8.636185018089107E-2</c:v>
                  </c:pt>
                  <c:pt idx="8">
                    <c:v>0.3811368172869975</c:v>
                  </c:pt>
                </c:numCache>
              </c:numRef>
            </c:plus>
            <c:minus>
              <c:numRef>
                <c:f>Sheet1!$L$21:$T$21</c:f>
                <c:numCache>
                  <c:formatCode>General</c:formatCode>
                  <c:ptCount val="9"/>
                  <c:pt idx="0">
                    <c:v>1.0181837592334078</c:v>
                  </c:pt>
                  <c:pt idx="1">
                    <c:v>0.29303234747492579</c:v>
                  </c:pt>
                  <c:pt idx="2">
                    <c:v>1.3104990259057778</c:v>
                  </c:pt>
                  <c:pt idx="3">
                    <c:v>1.0810148779850361</c:v>
                  </c:pt>
                  <c:pt idx="4">
                    <c:v>0.40030471206319862</c:v>
                  </c:pt>
                  <c:pt idx="5">
                    <c:v>1.4800229974874259</c:v>
                  </c:pt>
                  <c:pt idx="6">
                    <c:v>0.29698143627450141</c:v>
                  </c:pt>
                  <c:pt idx="7">
                    <c:v>8.636185018089107E-2</c:v>
                  </c:pt>
                  <c:pt idx="8">
                    <c:v>0.3811368172869975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Sheet1!$L$18:$T$19</c:f>
              <c:multiLvlStrCache>
                <c:ptCount val="9"/>
                <c:lvl>
                  <c:pt idx="0">
                    <c:v>Chl a</c:v>
                  </c:pt>
                  <c:pt idx="1">
                    <c:v>Chl b</c:v>
                  </c:pt>
                  <c:pt idx="2">
                    <c:v>Total</c:v>
                  </c:pt>
                  <c:pt idx="3">
                    <c:v>Chl a</c:v>
                  </c:pt>
                  <c:pt idx="4">
                    <c:v>Chl b</c:v>
                  </c:pt>
                  <c:pt idx="5">
                    <c:v>Total</c:v>
                  </c:pt>
                  <c:pt idx="6">
                    <c:v>Chl a</c:v>
                  </c:pt>
                  <c:pt idx="7">
                    <c:v>Chl b</c:v>
                  </c:pt>
                  <c:pt idx="8">
                    <c:v>Total</c:v>
                  </c:pt>
                </c:lvl>
                <c:lvl>
                  <c:pt idx="0">
                    <c:v>0</c:v>
                  </c:pt>
                  <c:pt idx="3">
                    <c:v>20</c:v>
                  </c:pt>
                  <c:pt idx="6">
                    <c:v>100</c:v>
                  </c:pt>
                </c:lvl>
              </c:multiLvlStrCache>
            </c:multiLvlStrRef>
          </c:cat>
          <c:val>
            <c:numRef>
              <c:f>Sheet1!$L$20:$T$20</c:f>
              <c:numCache>
                <c:formatCode>General</c:formatCode>
                <c:ptCount val="9"/>
                <c:pt idx="0">
                  <c:v>4.5799149999999997</c:v>
                </c:pt>
                <c:pt idx="1">
                  <c:v>1.6321500000000002</c:v>
                </c:pt>
                <c:pt idx="2">
                  <c:v>6.2120650000000008</c:v>
                </c:pt>
                <c:pt idx="3">
                  <c:v>4.2259725000000001</c:v>
                </c:pt>
                <c:pt idx="4">
                  <c:v>1.591375</c:v>
                </c:pt>
                <c:pt idx="5">
                  <c:v>5.8173475000000003</c:v>
                </c:pt>
                <c:pt idx="6">
                  <c:v>2.0723674999999999</c:v>
                </c:pt>
                <c:pt idx="7">
                  <c:v>0.95242499999999997</c:v>
                </c:pt>
                <c:pt idx="8">
                  <c:v>3.0247925000000002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6-4D4F-A89D-023F46B6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284623"/>
        <c:axId val="2061272623"/>
      </c:barChart>
      <c:catAx>
        <c:axId val="206128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272623"/>
        <c:crosses val="autoZero"/>
        <c:auto val="1"/>
        <c:lblAlgn val="ctr"/>
        <c:lblOffset val="100"/>
        <c:noMultiLvlLbl val="0"/>
      </c:catAx>
      <c:valAx>
        <c:axId val="206127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28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Sheet1!$G$40:$I$40</c:f>
                <c:numCache>
                  <c:formatCode>General</c:formatCode>
                  <c:ptCount val="3"/>
                  <c:pt idx="0">
                    <c:v>2.4635678733630727E-2</c:v>
                  </c:pt>
                  <c:pt idx="1">
                    <c:v>2.5197552791226926E-2</c:v>
                  </c:pt>
                  <c:pt idx="2">
                    <c:v>4.5460605656619498E-3</c:v>
                  </c:pt>
                </c:numCache>
              </c:numRef>
            </c:plus>
            <c:minus>
              <c:numRef>
                <c:f>Sheet1!$G$40:$I$40</c:f>
                <c:numCache>
                  <c:formatCode>General</c:formatCode>
                  <c:ptCount val="3"/>
                  <c:pt idx="0">
                    <c:v>2.4635678733630727E-2</c:v>
                  </c:pt>
                  <c:pt idx="1">
                    <c:v>2.5197552791226926E-2</c:v>
                  </c:pt>
                  <c:pt idx="2">
                    <c:v>4.5460605656619498E-3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strRef>
              <c:f>Sheet1!$G$38:$I$38</c:f>
              <c:strCache>
                <c:ptCount val="3"/>
                <c:pt idx="0">
                  <c:v>0uM</c:v>
                </c:pt>
                <c:pt idx="1">
                  <c:v>20uM</c:v>
                </c:pt>
                <c:pt idx="2">
                  <c:v>100uM</c:v>
                </c:pt>
              </c:strCache>
            </c:strRef>
          </c:cat>
          <c:val>
            <c:numRef>
              <c:f>Sheet1!$G$39:$I$39</c:f>
              <c:numCache>
                <c:formatCode>General</c:formatCode>
                <c:ptCount val="3"/>
                <c:pt idx="0">
                  <c:v>0.16425000000000001</c:v>
                </c:pt>
                <c:pt idx="1">
                  <c:v>0.10375</c:v>
                </c:pt>
                <c:pt idx="2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0-4CD6-92A0-84DD7905E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789615"/>
        <c:axId val="2062788175"/>
      </c:barChart>
      <c:catAx>
        <c:axId val="206278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88175"/>
        <c:crosses val="autoZero"/>
        <c:auto val="1"/>
        <c:lblAlgn val="ctr"/>
        <c:lblOffset val="100"/>
        <c:noMultiLvlLbl val="0"/>
      </c:catAx>
      <c:valAx>
        <c:axId val="20627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8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Chlorophyll</a:t>
            </a:r>
            <a:r>
              <a:rPr lang="en-US" baseline="0"/>
              <a:t> ug/mg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04-47E2-876F-E5F244EC0EA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704-47E2-876F-E5F244EC0EA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704-47E2-876F-E5F244EC0EA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704-47E2-876F-E5F244EC0EA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704-47E2-876F-E5F244EC0EA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704-47E2-876F-E5F244EC0EA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04-47E2-876F-E5F244EC0EA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704-47E2-876F-E5F244EC0EA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704-47E2-876F-E5F244EC0EA8}"/>
              </c:ext>
            </c:extLst>
          </c:dPt>
          <c:errBars>
            <c:errBarType val="both"/>
            <c:errValType val="cust"/>
            <c:noEndCap val="0"/>
            <c:plus>
              <c:numRef>
                <c:f>Sheet2!$M$21:$U$21</c:f>
                <c:numCache>
                  <c:formatCode>General</c:formatCode>
                  <c:ptCount val="9"/>
                  <c:pt idx="0">
                    <c:v>0.49198910017567088</c:v>
                  </c:pt>
                  <c:pt idx="1">
                    <c:v>0.15345314974501717</c:v>
                  </c:pt>
                  <c:pt idx="2">
                    <c:v>0.64184911442773396</c:v>
                  </c:pt>
                  <c:pt idx="3">
                    <c:v>1.3124428180908816</c:v>
                  </c:pt>
                  <c:pt idx="4">
                    <c:v>0.41434321019335313</c:v>
                  </c:pt>
                  <c:pt idx="5">
                    <c:v>1.7267581767843696</c:v>
                  </c:pt>
                  <c:pt idx="6">
                    <c:v>0.27300732937352951</c:v>
                  </c:pt>
                  <c:pt idx="7">
                    <c:v>0.12788274251568624</c:v>
                  </c:pt>
                  <c:pt idx="8">
                    <c:v>0.39876519936549143</c:v>
                  </c:pt>
                </c:numCache>
              </c:numRef>
            </c:plus>
            <c:minus>
              <c:numRef>
                <c:f>Sheet2!$M$21:$U$21</c:f>
                <c:numCache>
                  <c:formatCode>General</c:formatCode>
                  <c:ptCount val="9"/>
                  <c:pt idx="0">
                    <c:v>0.49198910017567088</c:v>
                  </c:pt>
                  <c:pt idx="1">
                    <c:v>0.15345314974501717</c:v>
                  </c:pt>
                  <c:pt idx="2">
                    <c:v>0.64184911442773396</c:v>
                  </c:pt>
                  <c:pt idx="3">
                    <c:v>1.3124428180908816</c:v>
                  </c:pt>
                  <c:pt idx="4">
                    <c:v>0.41434321019335313</c:v>
                  </c:pt>
                  <c:pt idx="5">
                    <c:v>1.7267581767843696</c:v>
                  </c:pt>
                  <c:pt idx="6">
                    <c:v>0.27300732937352951</c:v>
                  </c:pt>
                  <c:pt idx="7">
                    <c:v>0.12788274251568624</c:v>
                  </c:pt>
                  <c:pt idx="8">
                    <c:v>0.39876519936549143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Sheet2!$M$18:$U$19</c:f>
              <c:multiLvlStrCache>
                <c:ptCount val="9"/>
                <c:lvl>
                  <c:pt idx="0">
                    <c:v>Chl a</c:v>
                  </c:pt>
                  <c:pt idx="1">
                    <c:v>Chl b</c:v>
                  </c:pt>
                  <c:pt idx="2">
                    <c:v>Total</c:v>
                  </c:pt>
                  <c:pt idx="3">
                    <c:v>Chl a</c:v>
                  </c:pt>
                  <c:pt idx="4">
                    <c:v>Chl b</c:v>
                  </c:pt>
                  <c:pt idx="5">
                    <c:v>Total</c:v>
                  </c:pt>
                  <c:pt idx="6">
                    <c:v>Chl a</c:v>
                  </c:pt>
                  <c:pt idx="7">
                    <c:v>Chl b</c:v>
                  </c:pt>
                  <c:pt idx="8">
                    <c:v>Total</c:v>
                  </c:pt>
                </c:lvl>
                <c:lvl>
                  <c:pt idx="0">
                    <c:v>0</c:v>
                  </c:pt>
                  <c:pt idx="3">
                    <c:v>20</c:v>
                  </c:pt>
                  <c:pt idx="6">
                    <c:v>100</c:v>
                  </c:pt>
                </c:lvl>
              </c:multiLvlStrCache>
            </c:multiLvlStrRef>
          </c:cat>
          <c:val>
            <c:numRef>
              <c:f>Sheet2!$M$20:$U$20</c:f>
              <c:numCache>
                <c:formatCode>General</c:formatCode>
                <c:ptCount val="9"/>
                <c:pt idx="0">
                  <c:v>4.5799149999999997</c:v>
                </c:pt>
                <c:pt idx="1">
                  <c:v>1.6321500000000002</c:v>
                </c:pt>
                <c:pt idx="2">
                  <c:v>6.2120650000000008</c:v>
                </c:pt>
                <c:pt idx="3">
                  <c:v>4.2259725000000001</c:v>
                </c:pt>
                <c:pt idx="4">
                  <c:v>1.591375</c:v>
                </c:pt>
                <c:pt idx="5">
                  <c:v>5.8173475000000003</c:v>
                </c:pt>
                <c:pt idx="6">
                  <c:v>2.0723674999999999</c:v>
                </c:pt>
                <c:pt idx="7">
                  <c:v>0.95242499999999997</c:v>
                </c:pt>
                <c:pt idx="8">
                  <c:v>3.0247925000000002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4-47E2-876F-E5F244EC0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477888"/>
        <c:axId val="2132478368"/>
      </c:barChart>
      <c:catAx>
        <c:axId val="21324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78368"/>
        <c:crosses val="autoZero"/>
        <c:auto val="1"/>
        <c:lblAlgn val="ctr"/>
        <c:lblOffset val="100"/>
        <c:noMultiLvlLbl val="0"/>
      </c:catAx>
      <c:valAx>
        <c:axId val="21324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7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Sheet2!$I$41:$K$41</c:f>
                <c:numCache>
                  <c:formatCode>General</c:formatCode>
                  <c:ptCount val="3"/>
                  <c:pt idx="0">
                    <c:v>8.1649658092772595E-4</c:v>
                  </c:pt>
                  <c:pt idx="1">
                    <c:v>1.7320508075688774E-3</c:v>
                  </c:pt>
                  <c:pt idx="2">
                    <c:v>2.0566963801203125E-2</c:v>
                  </c:pt>
                </c:numCache>
              </c:numRef>
            </c:plus>
            <c:minus>
              <c:numRef>
                <c:f>Sheet2!$I$41:$K$41</c:f>
                <c:numCache>
                  <c:formatCode>General</c:formatCode>
                  <c:ptCount val="3"/>
                  <c:pt idx="0">
                    <c:v>8.1649658092772595E-4</c:v>
                  </c:pt>
                  <c:pt idx="1">
                    <c:v>1.7320508075688774E-3</c:v>
                  </c:pt>
                  <c:pt idx="2">
                    <c:v>2.0566963801203125E-2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Sheet2!$I$39:$K$39</c:f>
              <c:strCache>
                <c:ptCount val="3"/>
                <c:pt idx="0">
                  <c:v>0uM</c:v>
                </c:pt>
                <c:pt idx="1">
                  <c:v>20uM</c:v>
                </c:pt>
                <c:pt idx="2">
                  <c:v>100uM</c:v>
                </c:pt>
              </c:strCache>
            </c:strRef>
          </c:cat>
          <c:val>
            <c:numRef>
              <c:f>Sheet2!$I$40:$K$40</c:f>
              <c:numCache>
                <c:formatCode>General</c:formatCode>
                <c:ptCount val="3"/>
                <c:pt idx="0">
                  <c:v>-1E-3</c:v>
                </c:pt>
                <c:pt idx="1">
                  <c:v>4.4999999999999997E-3</c:v>
                </c:pt>
                <c:pt idx="2">
                  <c:v>5.6500000000000002E-2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F-4806-8080-82EBA0BD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569791"/>
        <c:axId val="1244570751"/>
      </c:barChart>
      <c:catAx>
        <c:axId val="124456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70751"/>
        <c:crosses val="autoZero"/>
        <c:auto val="1"/>
        <c:lblAlgn val="ctr"/>
        <c:lblOffset val="100"/>
        <c:noMultiLvlLbl val="0"/>
      </c:catAx>
      <c:valAx>
        <c:axId val="124457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6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17</xdr:row>
      <xdr:rowOff>146050</xdr:rowOff>
    </xdr:from>
    <xdr:to>
      <xdr:col>9</xdr:col>
      <xdr:colOff>104775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A0BDE-85DA-C205-3FCE-6BD7758CE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117475</xdr:colOff>
      <xdr:row>40</xdr:row>
      <xdr:rowOff>120650</xdr:rowOff>
    </xdr:from>
    <xdr:to>
      <xdr:col>13</xdr:col>
      <xdr:colOff>422275</xdr:colOff>
      <xdr:row>55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970C20-2C8F-DE09-E145-0DBB8E94D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111125</xdr:colOff>
      <xdr:row>18</xdr:row>
      <xdr:rowOff>6350</xdr:rowOff>
    </xdr:from>
    <xdr:to>
      <xdr:col>11</xdr:col>
      <xdr:colOff>415925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E8C093-DDCD-067C-9C32-38198F058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478118</xdr:colOff>
      <xdr:row>41</xdr:row>
      <xdr:rowOff>137458</xdr:rowOff>
    </xdr:from>
    <xdr:to>
      <xdr:col>14</xdr:col>
      <xdr:colOff>149412</xdr:colOff>
      <xdr:row>56</xdr:row>
      <xdr:rowOff>79188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2ED849-1ACD-38F4-7E05-CA29FF72A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6BE2-F33C-4613-8008-462D8C2EC386}">
  <dimension ref="A1:T50"/>
  <sheetViews>
    <sheetView topLeftCell="A11" workbookViewId="0">
      <selection activeCell="Q48" sqref="Q48"/>
    </sheetView>
  </sheetViews>
  <sheetFormatPr baseColWidth="10" defaultColWidth="8.83203125" defaultRowHeight="15" x14ac:dyDescent="0.2"/>
  <cols>
    <col min="1" max="1" width="12.83203125" customWidth="1"/>
    <col min="5" max="5" width="14.1640625" customWidth="1"/>
  </cols>
  <sheetData>
    <row r="1" spans="1:17" x14ac:dyDescent="0.2">
      <c r="A1" s="4" t="s">
        <v>24</v>
      </c>
    </row>
    <row r="2" spans="1:17" x14ac:dyDescent="0.2">
      <c r="A2" s="1" t="s">
        <v>0</v>
      </c>
      <c r="B2" s="1"/>
      <c r="C2" s="1"/>
    </row>
    <row r="3" spans="1:17" x14ac:dyDescent="0.2">
      <c r="A3" t="s">
        <v>9</v>
      </c>
      <c r="B3" t="s">
        <v>10</v>
      </c>
    </row>
    <row r="4" spans="1:17" x14ac:dyDescent="0.2">
      <c r="A4" t="s">
        <v>1</v>
      </c>
      <c r="E4" t="s">
        <v>5</v>
      </c>
      <c r="I4" t="s">
        <v>11</v>
      </c>
      <c r="L4" t="s">
        <v>12</v>
      </c>
    </row>
    <row r="5" spans="1:17" ht="32" x14ac:dyDescent="0.2">
      <c r="A5" s="2" t="s">
        <v>2</v>
      </c>
      <c r="B5" t="s">
        <v>3</v>
      </c>
      <c r="C5" t="s">
        <v>4</v>
      </c>
      <c r="E5" s="2" t="s">
        <v>2</v>
      </c>
      <c r="F5" t="s">
        <v>3</v>
      </c>
      <c r="G5" t="s">
        <v>4</v>
      </c>
      <c r="I5" t="s">
        <v>6</v>
      </c>
      <c r="J5" t="s">
        <v>7</v>
      </c>
      <c r="K5" t="s">
        <v>8</v>
      </c>
      <c r="L5" t="s">
        <v>6</v>
      </c>
      <c r="M5" t="s">
        <v>22</v>
      </c>
      <c r="N5" t="s">
        <v>7</v>
      </c>
      <c r="O5" t="s">
        <v>22</v>
      </c>
      <c r="P5" t="s">
        <v>8</v>
      </c>
      <c r="Q5" t="s">
        <v>22</v>
      </c>
    </row>
    <row r="6" spans="1:17" x14ac:dyDescent="0.2">
      <c r="A6">
        <v>0</v>
      </c>
      <c r="B6">
        <v>1</v>
      </c>
      <c r="C6">
        <v>0.215</v>
      </c>
      <c r="E6">
        <v>0</v>
      </c>
      <c r="F6">
        <v>1</v>
      </c>
      <c r="G6">
        <v>0.51700000000000002</v>
      </c>
      <c r="I6">
        <f>(12.25*G6)-(2.79*C6)</f>
        <v>5.7334000000000005</v>
      </c>
      <c r="J6">
        <f>(21.5*C6)-(5.1*G6)</f>
        <v>1.9857999999999998</v>
      </c>
      <c r="K6">
        <f>I6+J6</f>
        <v>7.7192000000000007</v>
      </c>
      <c r="L6">
        <f>AVERAGE(I6:I9)</f>
        <v>4.5799149999999997</v>
      </c>
      <c r="N6">
        <f>AVERAGE(J6:J9)</f>
        <v>1.6321500000000002</v>
      </c>
      <c r="P6">
        <f>AVERAGE(K6:K9)</f>
        <v>6.2120650000000008</v>
      </c>
    </row>
    <row r="7" spans="1:17" x14ac:dyDescent="0.2">
      <c r="B7">
        <v>2</v>
      </c>
      <c r="C7">
        <v>0.17799999999999999</v>
      </c>
      <c r="F7">
        <v>2</v>
      </c>
      <c r="G7">
        <v>0.42599999999999999</v>
      </c>
      <c r="I7">
        <f t="shared" ref="I7:I17" si="0">(12.25*G7)-(2.79*C7)</f>
        <v>4.7218799999999996</v>
      </c>
      <c r="J7">
        <f t="shared" ref="J7:J17" si="1">(21.5*C7)-(5.1*G7)</f>
        <v>1.6544000000000003</v>
      </c>
      <c r="K7">
        <f t="shared" ref="K7:K17" si="2">I7+J7</f>
        <v>6.3762799999999995</v>
      </c>
    </row>
    <row r="8" spans="1:17" x14ac:dyDescent="0.2">
      <c r="B8">
        <v>3</v>
      </c>
      <c r="C8">
        <v>0.17399999999999999</v>
      </c>
      <c r="F8">
        <v>3</v>
      </c>
      <c r="G8">
        <v>0.41599999999999998</v>
      </c>
      <c r="I8">
        <f t="shared" si="0"/>
        <v>4.6105400000000003</v>
      </c>
      <c r="J8">
        <f t="shared" si="1"/>
        <v>1.6193999999999997</v>
      </c>
      <c r="K8">
        <f t="shared" si="2"/>
        <v>6.22994</v>
      </c>
    </row>
    <row r="9" spans="1:17" x14ac:dyDescent="0.2">
      <c r="B9">
        <v>4</v>
      </c>
      <c r="C9">
        <v>0.129</v>
      </c>
      <c r="F9">
        <v>4</v>
      </c>
      <c r="G9">
        <v>0.29499999999999998</v>
      </c>
      <c r="I9">
        <f t="shared" si="0"/>
        <v>3.2538399999999998</v>
      </c>
      <c r="J9">
        <f t="shared" si="1"/>
        <v>1.2690000000000006</v>
      </c>
      <c r="K9">
        <f t="shared" si="2"/>
        <v>4.5228400000000004</v>
      </c>
    </row>
    <row r="10" spans="1:17" x14ac:dyDescent="0.2">
      <c r="A10">
        <v>20</v>
      </c>
      <c r="B10">
        <v>1</v>
      </c>
      <c r="C10">
        <v>0.18099999999999999</v>
      </c>
      <c r="E10">
        <v>20</v>
      </c>
      <c r="F10">
        <v>1</v>
      </c>
      <c r="G10">
        <v>0.42199999999999999</v>
      </c>
      <c r="I10">
        <f t="shared" si="0"/>
        <v>4.6645099999999999</v>
      </c>
      <c r="J10">
        <f t="shared" si="1"/>
        <v>1.7393000000000001</v>
      </c>
      <c r="K10">
        <f t="shared" si="2"/>
        <v>6.40381</v>
      </c>
      <c r="L10">
        <f>AVERAGE(I10:I13)</f>
        <v>4.2259725000000001</v>
      </c>
      <c r="M10">
        <f>_xlfn.T.TEST(I10:I13,I6:I9,2,3)</f>
        <v>0.65051035263758583</v>
      </c>
      <c r="N10">
        <f>AVERAGE(J10:J13)</f>
        <v>1.591375</v>
      </c>
      <c r="O10">
        <f>_xlfn.T.TEST(J10:J13,J6:J9,2,3)</f>
        <v>0.87530439744001998</v>
      </c>
      <c r="P10">
        <f>AVERAGE(K10:K13)</f>
        <v>5.8173475000000003</v>
      </c>
      <c r="Q10">
        <f>_xlfn.T.TEST(K10:K13,K6:K9,2,3)</f>
        <v>0.70366319387096565</v>
      </c>
    </row>
    <row r="11" spans="1:17" x14ac:dyDescent="0.2">
      <c r="B11">
        <v>2</v>
      </c>
      <c r="C11">
        <v>0.17499999999999999</v>
      </c>
      <c r="F11">
        <v>2</v>
      </c>
      <c r="G11">
        <v>0.41099999999999998</v>
      </c>
      <c r="I11">
        <f t="shared" si="0"/>
        <v>4.5465</v>
      </c>
      <c r="J11">
        <f t="shared" si="1"/>
        <v>1.6663999999999999</v>
      </c>
      <c r="K11">
        <f t="shared" si="2"/>
        <v>6.2128999999999994</v>
      </c>
    </row>
    <row r="12" spans="1:17" x14ac:dyDescent="0.2">
      <c r="B12">
        <v>3</v>
      </c>
      <c r="C12">
        <v>0.104</v>
      </c>
      <c r="F12">
        <v>3</v>
      </c>
      <c r="G12">
        <v>0.23899999999999999</v>
      </c>
      <c r="I12">
        <f t="shared" si="0"/>
        <v>2.6375900000000003</v>
      </c>
      <c r="J12">
        <f t="shared" si="1"/>
        <v>1.0170999999999999</v>
      </c>
      <c r="K12">
        <f t="shared" si="2"/>
        <v>3.6546900000000004</v>
      </c>
    </row>
    <row r="13" spans="1:17" x14ac:dyDescent="0.2">
      <c r="B13">
        <v>4</v>
      </c>
      <c r="C13">
        <v>0.19900000000000001</v>
      </c>
      <c r="F13">
        <v>4</v>
      </c>
      <c r="G13">
        <v>0.45800000000000002</v>
      </c>
      <c r="I13">
        <f t="shared" si="0"/>
        <v>5.0552900000000003</v>
      </c>
      <c r="J13">
        <f t="shared" si="1"/>
        <v>1.9427000000000003</v>
      </c>
      <c r="K13">
        <f t="shared" si="2"/>
        <v>6.9979900000000006</v>
      </c>
    </row>
    <row r="14" spans="1:17" x14ac:dyDescent="0.2">
      <c r="A14">
        <v>100</v>
      </c>
      <c r="B14">
        <v>1</v>
      </c>
      <c r="C14">
        <v>0.09</v>
      </c>
      <c r="E14">
        <v>100</v>
      </c>
      <c r="F14">
        <v>1</v>
      </c>
      <c r="G14">
        <v>0.191</v>
      </c>
      <c r="I14">
        <f t="shared" si="0"/>
        <v>2.0886499999999999</v>
      </c>
      <c r="J14">
        <f t="shared" si="1"/>
        <v>0.96089999999999987</v>
      </c>
      <c r="K14">
        <f t="shared" si="2"/>
        <v>3.04955</v>
      </c>
      <c r="L14">
        <f>AVERAGE(I14:I17)</f>
        <v>2.0723674999999999</v>
      </c>
      <c r="M14">
        <f>_xlfn.T.TEST(I14:I17,I6:I9,2,3)</f>
        <v>1.2506103087494936E-2</v>
      </c>
      <c r="N14">
        <f>AVERAGE(J14:J17)</f>
        <v>0.95242499999999997</v>
      </c>
      <c r="O14">
        <f>_xlfn.T.TEST(J14:J17,J6:J9,2,3)</f>
        <v>1.4990962975389408E-2</v>
      </c>
      <c r="P14">
        <f>AVERAGE(K14:K17)</f>
        <v>3.0247925000000002</v>
      </c>
      <c r="Q14">
        <f>_xlfn.T.TEST(K14:K17,K6:K9,2,3)</f>
        <v>1.3018835285682463E-2</v>
      </c>
    </row>
    <row r="15" spans="1:17" x14ac:dyDescent="0.2">
      <c r="B15">
        <v>2</v>
      </c>
      <c r="C15">
        <v>0.10100000000000001</v>
      </c>
      <c r="F15">
        <v>2</v>
      </c>
      <c r="G15">
        <v>0.222</v>
      </c>
      <c r="I15">
        <f t="shared" si="0"/>
        <v>2.43771</v>
      </c>
      <c r="J15">
        <f t="shared" si="1"/>
        <v>1.0393000000000001</v>
      </c>
      <c r="K15">
        <f t="shared" si="2"/>
        <v>3.4770099999999999</v>
      </c>
    </row>
    <row r="16" spans="1:17" x14ac:dyDescent="0.2">
      <c r="B16">
        <v>3</v>
      </c>
      <c r="C16">
        <v>0.09</v>
      </c>
      <c r="F16">
        <v>3</v>
      </c>
      <c r="G16">
        <v>0.188</v>
      </c>
      <c r="I16">
        <f t="shared" si="0"/>
        <v>2.0518999999999998</v>
      </c>
      <c r="J16">
        <f t="shared" si="1"/>
        <v>0.97619999999999985</v>
      </c>
      <c r="K16">
        <f t="shared" si="2"/>
        <v>3.0280999999999998</v>
      </c>
    </row>
    <row r="17" spans="2:20" x14ac:dyDescent="0.2">
      <c r="B17">
        <v>4</v>
      </c>
      <c r="C17">
        <v>7.5999999999999998E-2</v>
      </c>
      <c r="F17">
        <v>4</v>
      </c>
      <c r="G17">
        <v>0.157</v>
      </c>
      <c r="I17">
        <f t="shared" si="0"/>
        <v>1.7112099999999999</v>
      </c>
      <c r="J17">
        <f t="shared" si="1"/>
        <v>0.83329999999999993</v>
      </c>
      <c r="K17">
        <f t="shared" si="2"/>
        <v>2.5445099999999998</v>
      </c>
    </row>
    <row r="18" spans="2:20" x14ac:dyDescent="0.2">
      <c r="L18" s="6">
        <v>0</v>
      </c>
      <c r="M18" s="6"/>
      <c r="N18" s="6"/>
      <c r="O18" s="6">
        <v>20</v>
      </c>
      <c r="P18" s="6"/>
      <c r="Q18" s="6"/>
      <c r="R18" s="6">
        <v>100</v>
      </c>
      <c r="S18" s="6"/>
      <c r="T18" s="6"/>
    </row>
    <row r="19" spans="2:20" x14ac:dyDescent="0.2">
      <c r="L19" t="s">
        <v>6</v>
      </c>
      <c r="M19" t="s">
        <v>7</v>
      </c>
      <c r="N19" t="s">
        <v>8</v>
      </c>
      <c r="O19" t="s">
        <v>6</v>
      </c>
      <c r="P19" t="s">
        <v>7</v>
      </c>
      <c r="Q19" t="s">
        <v>8</v>
      </c>
      <c r="R19" t="s">
        <v>6</v>
      </c>
      <c r="S19" t="s">
        <v>7</v>
      </c>
      <c r="T19" t="s">
        <v>8</v>
      </c>
    </row>
    <row r="20" spans="2:20" x14ac:dyDescent="0.2">
      <c r="L20">
        <v>4.5799149999999997</v>
      </c>
      <c r="M20">
        <v>1.6321500000000002</v>
      </c>
      <c r="N20">
        <v>6.2120650000000008</v>
      </c>
      <c r="O20">
        <v>4.2259725000000001</v>
      </c>
      <c r="P20">
        <v>1.591375</v>
      </c>
      <c r="Q20">
        <v>5.8173475000000003</v>
      </c>
      <c r="R20">
        <v>2.0723674999999999</v>
      </c>
      <c r="S20">
        <v>0.95242499999999997</v>
      </c>
      <c r="T20">
        <v>3.0247925000000002</v>
      </c>
    </row>
    <row r="21" spans="2:20" x14ac:dyDescent="0.2">
      <c r="K21" t="s">
        <v>13</v>
      </c>
      <c r="L21">
        <f>STDEVA(I6:I9)</f>
        <v>1.0181837592334078</v>
      </c>
      <c r="M21">
        <f>STDEVA(J6:J9)</f>
        <v>0.29303234747492579</v>
      </c>
      <c r="N21">
        <f>STDEVA(K6:K9)</f>
        <v>1.3104990259057778</v>
      </c>
      <c r="O21">
        <f>STDEVA(I10:I13)</f>
        <v>1.0810148779850361</v>
      </c>
      <c r="P21">
        <f t="shared" ref="P21:Q21" si="3">STDEVA(J10:J13)</f>
        <v>0.40030471206319862</v>
      </c>
      <c r="Q21">
        <f t="shared" si="3"/>
        <v>1.4800229974874259</v>
      </c>
      <c r="R21">
        <f>STDEVA(I14:I17)</f>
        <v>0.29698143627450141</v>
      </c>
      <c r="S21">
        <f t="shared" ref="S21:T21" si="4">STDEVA(J14:J17)</f>
        <v>8.636185018089107E-2</v>
      </c>
      <c r="T21">
        <f t="shared" si="4"/>
        <v>0.3811368172869975</v>
      </c>
    </row>
    <row r="36" spans="1:9" x14ac:dyDescent="0.2">
      <c r="A36" s="3" t="s">
        <v>14</v>
      </c>
      <c r="B36" s="3"/>
      <c r="C36" s="3"/>
      <c r="D36" s="5" t="s">
        <v>25</v>
      </c>
      <c r="E36" s="5"/>
      <c r="F36" s="5"/>
      <c r="G36" s="5"/>
    </row>
    <row r="37" spans="1:9" x14ac:dyDescent="0.2">
      <c r="A37" t="s">
        <v>15</v>
      </c>
    </row>
    <row r="38" spans="1:9" ht="32" x14ac:dyDescent="0.2">
      <c r="A38" s="2" t="s">
        <v>2</v>
      </c>
      <c r="B38" t="s">
        <v>3</v>
      </c>
      <c r="D38" t="s">
        <v>16</v>
      </c>
      <c r="E38" t="s">
        <v>17</v>
      </c>
      <c r="F38" t="s">
        <v>18</v>
      </c>
      <c r="G38" t="s">
        <v>21</v>
      </c>
      <c r="H38" t="s">
        <v>19</v>
      </c>
      <c r="I38" t="s">
        <v>20</v>
      </c>
    </row>
    <row r="39" spans="1:9" x14ac:dyDescent="0.2">
      <c r="A39" s="6">
        <v>0</v>
      </c>
      <c r="B39">
        <v>1</v>
      </c>
      <c r="C39">
        <v>0.19800000000000001</v>
      </c>
      <c r="D39">
        <f>AVERAGE(C39:C42)</f>
        <v>0.16425000000000001</v>
      </c>
      <c r="E39">
        <f>STDEVA(C39:C42)</f>
        <v>2.4635678733630727E-2</v>
      </c>
      <c r="G39">
        <v>0.16425000000000001</v>
      </c>
      <c r="H39">
        <v>0.10375</v>
      </c>
      <c r="I39">
        <v>9.8000000000000004E-2</v>
      </c>
    </row>
    <row r="40" spans="1:9" x14ac:dyDescent="0.2">
      <c r="A40" s="6"/>
      <c r="B40">
        <v>2</v>
      </c>
      <c r="C40">
        <v>0.16700000000000001</v>
      </c>
      <c r="F40" t="s">
        <v>13</v>
      </c>
      <c r="G40">
        <v>2.4635678733630727E-2</v>
      </c>
      <c r="H40">
        <v>2.5197552791226926E-2</v>
      </c>
      <c r="I40">
        <v>4.5460605656619498E-3</v>
      </c>
    </row>
    <row r="41" spans="1:9" x14ac:dyDescent="0.2">
      <c r="A41" s="6"/>
      <c r="B41">
        <v>3</v>
      </c>
      <c r="C41">
        <v>0.14399999999999999</v>
      </c>
    </row>
    <row r="42" spans="1:9" x14ac:dyDescent="0.2">
      <c r="A42" s="6"/>
      <c r="B42">
        <v>4</v>
      </c>
      <c r="C42">
        <v>0.14799999999999999</v>
      </c>
      <c r="H42" t="s">
        <v>18</v>
      </c>
    </row>
    <row r="43" spans="1:9" x14ac:dyDescent="0.2">
      <c r="A43" s="6">
        <v>20</v>
      </c>
      <c r="B43">
        <v>1</v>
      </c>
      <c r="C43">
        <v>0.09</v>
      </c>
      <c r="D43">
        <f>AVERAGE(C43:C46)</f>
        <v>0.10375</v>
      </c>
      <c r="E43">
        <f>STDEVA(C43:C46)</f>
        <v>2.5197552791226926E-2</v>
      </c>
      <c r="H43">
        <v>0</v>
      </c>
      <c r="I43">
        <v>0.16425000000000001</v>
      </c>
    </row>
    <row r="44" spans="1:9" x14ac:dyDescent="0.2">
      <c r="A44" s="6"/>
      <c r="B44">
        <v>2</v>
      </c>
      <c r="C44">
        <v>0.13100000000000001</v>
      </c>
      <c r="H44">
        <v>20</v>
      </c>
      <c r="I44">
        <v>0.10375</v>
      </c>
    </row>
    <row r="45" spans="1:9" x14ac:dyDescent="0.2">
      <c r="A45" s="6"/>
      <c r="B45">
        <v>3</v>
      </c>
      <c r="C45">
        <v>7.5999999999999998E-2</v>
      </c>
      <c r="H45">
        <v>100</v>
      </c>
      <c r="I45">
        <v>9.8000000000000004E-2</v>
      </c>
    </row>
    <row r="46" spans="1:9" x14ac:dyDescent="0.2">
      <c r="A46" s="6"/>
      <c r="B46">
        <v>4</v>
      </c>
      <c r="C46">
        <v>0.11799999999999999</v>
      </c>
    </row>
    <row r="47" spans="1:9" x14ac:dyDescent="0.2">
      <c r="A47" s="6">
        <v>100</v>
      </c>
      <c r="B47">
        <v>1</v>
      </c>
      <c r="C47">
        <v>9.5000000000000001E-2</v>
      </c>
      <c r="D47">
        <f>AVERAGE(C47:C50)</f>
        <v>9.8000000000000004E-2</v>
      </c>
      <c r="E47">
        <f>STDEVA(C47:C50)</f>
        <v>4.5460605656619498E-3</v>
      </c>
    </row>
    <row r="48" spans="1:9" x14ac:dyDescent="0.2">
      <c r="A48" s="6"/>
      <c r="B48">
        <v>2</v>
      </c>
      <c r="C48">
        <v>9.4E-2</v>
      </c>
    </row>
    <row r="49" spans="1:3" x14ac:dyDescent="0.2">
      <c r="A49" s="6"/>
      <c r="B49">
        <v>3</v>
      </c>
      <c r="C49">
        <v>0.104</v>
      </c>
    </row>
    <row r="50" spans="1:3" x14ac:dyDescent="0.2">
      <c r="A50" s="6"/>
      <c r="B50">
        <v>4</v>
      </c>
      <c r="C50">
        <v>9.9000000000000005E-2</v>
      </c>
    </row>
  </sheetData>
  <mergeCells count="6">
    <mergeCell ref="A47:A50"/>
    <mergeCell ref="L18:N18"/>
    <mergeCell ref="O18:Q18"/>
    <mergeCell ref="R18:T18"/>
    <mergeCell ref="A39:A42"/>
    <mergeCell ref="A43:A4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2496-911D-4197-9365-33DF71E7A86A}">
  <dimension ref="A1:U50"/>
  <sheetViews>
    <sheetView tabSelected="1" topLeftCell="A3" zoomScale="85" workbookViewId="0">
      <selection activeCell="I9" sqref="I9"/>
    </sheetView>
  </sheetViews>
  <sheetFormatPr baseColWidth="10" defaultColWidth="8.83203125" defaultRowHeight="15" x14ac:dyDescent="0.2"/>
  <sheetData>
    <row r="1" spans="1:17" x14ac:dyDescent="0.2">
      <c r="A1" s="4" t="s">
        <v>26</v>
      </c>
    </row>
    <row r="2" spans="1:17" x14ac:dyDescent="0.2">
      <c r="A2" s="1" t="s">
        <v>0</v>
      </c>
      <c r="B2" s="1"/>
      <c r="C2" s="1"/>
    </row>
    <row r="3" spans="1:17" x14ac:dyDescent="0.2">
      <c r="A3" t="s">
        <v>9</v>
      </c>
      <c r="B3" t="s">
        <v>10</v>
      </c>
    </row>
    <row r="4" spans="1:17" x14ac:dyDescent="0.2">
      <c r="A4" t="s">
        <v>1</v>
      </c>
      <c r="E4" t="s">
        <v>5</v>
      </c>
      <c r="I4" t="s">
        <v>11</v>
      </c>
      <c r="L4" t="s">
        <v>12</v>
      </c>
    </row>
    <row r="5" spans="1:17" ht="48" x14ac:dyDescent="0.2">
      <c r="A5" s="2" t="s">
        <v>2</v>
      </c>
      <c r="B5" t="s">
        <v>3</v>
      </c>
      <c r="C5" t="s">
        <v>4</v>
      </c>
      <c r="E5" s="2" t="s">
        <v>2</v>
      </c>
      <c r="F5" t="s">
        <v>3</v>
      </c>
      <c r="G5" t="s">
        <v>4</v>
      </c>
      <c r="I5" t="s">
        <v>6</v>
      </c>
      <c r="J5" t="s">
        <v>7</v>
      </c>
      <c r="K5" t="s">
        <v>8</v>
      </c>
      <c r="L5" t="s">
        <v>6</v>
      </c>
      <c r="M5" t="s">
        <v>22</v>
      </c>
      <c r="N5" t="s">
        <v>7</v>
      </c>
      <c r="O5" t="s">
        <v>22</v>
      </c>
      <c r="P5" t="s">
        <v>8</v>
      </c>
      <c r="Q5" t="s">
        <v>22</v>
      </c>
    </row>
    <row r="6" spans="1:17" x14ac:dyDescent="0.2">
      <c r="A6">
        <v>0</v>
      </c>
      <c r="B6">
        <v>1</v>
      </c>
      <c r="C6">
        <v>0.17100000000000001</v>
      </c>
      <c r="E6">
        <v>0</v>
      </c>
      <c r="F6">
        <v>1</v>
      </c>
      <c r="G6">
        <v>0.42199999999999999</v>
      </c>
      <c r="I6">
        <f>(12.25*G6)-(2.79*C6)</f>
        <v>4.6924099999999997</v>
      </c>
      <c r="J6">
        <f>(21.5*C6)-(5.1*G6)</f>
        <v>1.5243000000000007</v>
      </c>
      <c r="K6">
        <f>I6+J6</f>
        <v>6.2167100000000008</v>
      </c>
      <c r="L6">
        <f>AVERAGE(I6:I9)</f>
        <v>4.5521124999999998</v>
      </c>
      <c r="N6">
        <f>AVERAGE(J6:J9)</f>
        <v>1.5115250000000002</v>
      </c>
      <c r="P6">
        <f>AVERAGE(K6:K9)</f>
        <v>6.0636375000000005</v>
      </c>
    </row>
    <row r="7" spans="1:17" x14ac:dyDescent="0.2">
      <c r="B7">
        <v>2</v>
      </c>
      <c r="C7">
        <v>0.19</v>
      </c>
      <c r="F7">
        <v>2</v>
      </c>
      <c r="G7">
        <v>0.46600000000000003</v>
      </c>
      <c r="I7">
        <f t="shared" ref="I7:I17" si="0">(12.25*G7)-(2.79*C7)</f>
        <v>5.1783999999999999</v>
      </c>
      <c r="J7">
        <f t="shared" ref="J7:J17" si="1">(21.5*C7)-(5.1*G7)</f>
        <v>1.7084000000000001</v>
      </c>
      <c r="K7">
        <f t="shared" ref="K7:K17" si="2">I7+J7</f>
        <v>6.8868</v>
      </c>
    </row>
    <row r="8" spans="1:17" x14ac:dyDescent="0.2">
      <c r="B8">
        <v>3</v>
      </c>
      <c r="C8">
        <v>0.14899999999999999</v>
      </c>
      <c r="F8">
        <v>3</v>
      </c>
      <c r="G8">
        <v>0.36599999999999999</v>
      </c>
      <c r="I8">
        <f>(12.25*G8)-(2.79*C8)</f>
        <v>4.0677900000000005</v>
      </c>
      <c r="J8">
        <f t="shared" si="1"/>
        <v>1.3369000000000002</v>
      </c>
      <c r="K8">
        <f t="shared" si="2"/>
        <v>5.4046900000000004</v>
      </c>
    </row>
    <row r="9" spans="1:17" x14ac:dyDescent="0.2">
      <c r="B9">
        <v>4</v>
      </c>
      <c r="C9">
        <v>0.16</v>
      </c>
      <c r="F9">
        <v>4</v>
      </c>
      <c r="G9">
        <v>0.38500000000000001</v>
      </c>
      <c r="I9">
        <f t="shared" si="0"/>
        <v>4.2698500000000008</v>
      </c>
      <c r="J9">
        <f t="shared" si="1"/>
        <v>1.4765000000000001</v>
      </c>
      <c r="K9">
        <f t="shared" si="2"/>
        <v>5.7463500000000014</v>
      </c>
    </row>
    <row r="10" spans="1:17" x14ac:dyDescent="0.2">
      <c r="A10">
        <v>20</v>
      </c>
      <c r="B10">
        <v>1</v>
      </c>
      <c r="C10">
        <v>8.5999999999999993E-2</v>
      </c>
      <c r="E10">
        <v>20</v>
      </c>
      <c r="F10">
        <v>1</v>
      </c>
      <c r="G10">
        <v>0.19800000000000001</v>
      </c>
      <c r="I10">
        <f t="shared" si="0"/>
        <v>2.1855600000000002</v>
      </c>
      <c r="J10">
        <f t="shared" si="1"/>
        <v>0.83919999999999972</v>
      </c>
      <c r="K10">
        <f t="shared" si="2"/>
        <v>3.0247599999999997</v>
      </c>
      <c r="L10">
        <f>AVERAGE(I10:I13)</f>
        <v>3.6577525</v>
      </c>
      <c r="M10">
        <f>_xlfn.T.TEST(I10:I13,I6:I9,2,3)</f>
        <v>0.2738426684257238</v>
      </c>
      <c r="N10">
        <f>AVERAGE(J10:J13)</f>
        <v>1.3042250000000004</v>
      </c>
      <c r="O10">
        <f>_xlfn.T.TEST(J10:J13,J6:J9,2,3)</f>
        <v>0.40368740048021401</v>
      </c>
      <c r="P10">
        <f>AVERAGE(K10:K13)</f>
        <v>4.9619774999999997</v>
      </c>
      <c r="Q10">
        <f>_xlfn.T.TEST(K10:K13,K6:K9,2,3)</f>
        <v>0.30071484580562885</v>
      </c>
    </row>
    <row r="11" spans="1:17" x14ac:dyDescent="0.2">
      <c r="B11">
        <v>2</v>
      </c>
      <c r="C11">
        <v>0.20100000000000001</v>
      </c>
      <c r="F11">
        <v>2</v>
      </c>
      <c r="G11">
        <v>0.48499999999999999</v>
      </c>
      <c r="I11">
        <f t="shared" si="0"/>
        <v>5.3804600000000002</v>
      </c>
      <c r="J11">
        <f t="shared" si="1"/>
        <v>1.8480000000000008</v>
      </c>
      <c r="K11">
        <f t="shared" si="2"/>
        <v>7.228460000000001</v>
      </c>
    </row>
    <row r="12" spans="1:17" x14ac:dyDescent="0.2">
      <c r="B12">
        <v>3</v>
      </c>
      <c r="C12">
        <v>0.13500000000000001</v>
      </c>
      <c r="F12">
        <v>3</v>
      </c>
      <c r="G12">
        <v>0.32100000000000001</v>
      </c>
      <c r="I12">
        <f t="shared" si="0"/>
        <v>3.5556000000000001</v>
      </c>
      <c r="J12">
        <f t="shared" si="1"/>
        <v>1.2654000000000003</v>
      </c>
      <c r="K12">
        <f t="shared" si="2"/>
        <v>4.8210000000000006</v>
      </c>
    </row>
    <row r="13" spans="1:17" x14ac:dyDescent="0.2">
      <c r="B13">
        <v>4</v>
      </c>
      <c r="C13">
        <v>0.13400000000000001</v>
      </c>
      <c r="F13">
        <v>4</v>
      </c>
      <c r="G13">
        <v>0.317</v>
      </c>
      <c r="I13">
        <f t="shared" si="0"/>
        <v>3.5093899999999998</v>
      </c>
      <c r="J13">
        <f t="shared" si="1"/>
        <v>1.2643000000000004</v>
      </c>
      <c r="K13">
        <f t="shared" si="2"/>
        <v>4.7736900000000002</v>
      </c>
    </row>
    <row r="14" spans="1:17" x14ac:dyDescent="0.2">
      <c r="A14">
        <v>100</v>
      </c>
      <c r="B14">
        <v>1</v>
      </c>
      <c r="C14">
        <v>0.11600000000000001</v>
      </c>
      <c r="E14">
        <v>100</v>
      </c>
      <c r="F14">
        <v>1</v>
      </c>
      <c r="G14">
        <v>0.253</v>
      </c>
      <c r="I14">
        <f t="shared" si="0"/>
        <v>2.7756099999999999</v>
      </c>
      <c r="J14">
        <f t="shared" si="1"/>
        <v>1.2037000000000002</v>
      </c>
      <c r="K14">
        <f t="shared" si="2"/>
        <v>3.9793099999999999</v>
      </c>
      <c r="L14">
        <f>AVERAGE(I14:I17)</f>
        <v>2.7536275000000003</v>
      </c>
      <c r="M14">
        <f>_xlfn.T.TEST(I14:I17,I6:I9,2,3)</f>
        <v>1.7584749241813414E-3</v>
      </c>
      <c r="N14">
        <f>AVERAGE(J14:J17)</f>
        <v>1.1721750000000002</v>
      </c>
      <c r="O14">
        <f>_xlfn.T.TEST(J14:J17,J6:J9,2,3)</f>
        <v>1.5275035357608107E-2</v>
      </c>
      <c r="P14">
        <f>AVERAGE(K14:K17)</f>
        <v>3.9258025000000005</v>
      </c>
      <c r="Q14">
        <f>_xlfn.T.TEST(K14:K17,K6:K9,2,3)</f>
        <v>2.3719708202937419E-3</v>
      </c>
    </row>
    <row r="15" spans="1:17" x14ac:dyDescent="0.2">
      <c r="B15">
        <v>2</v>
      </c>
      <c r="C15">
        <v>9.7000000000000003E-2</v>
      </c>
      <c r="F15">
        <v>2</v>
      </c>
      <c r="G15">
        <v>0.216</v>
      </c>
      <c r="I15">
        <f t="shared" si="0"/>
        <v>2.3753699999999998</v>
      </c>
      <c r="J15">
        <f t="shared" si="1"/>
        <v>0.98390000000000022</v>
      </c>
      <c r="K15">
        <f t="shared" si="2"/>
        <v>3.35927</v>
      </c>
    </row>
    <row r="16" spans="1:17" x14ac:dyDescent="0.2">
      <c r="B16">
        <v>3</v>
      </c>
      <c r="C16">
        <v>0.11899999999999999</v>
      </c>
      <c r="F16">
        <v>3</v>
      </c>
      <c r="G16">
        <v>0.25900000000000001</v>
      </c>
      <c r="I16">
        <f t="shared" si="0"/>
        <v>2.8407400000000003</v>
      </c>
      <c r="J16">
        <f t="shared" si="1"/>
        <v>1.2376</v>
      </c>
      <c r="K16">
        <f t="shared" si="2"/>
        <v>4.0783400000000007</v>
      </c>
    </row>
    <row r="17" spans="2:21" x14ac:dyDescent="0.2">
      <c r="B17">
        <v>4</v>
      </c>
      <c r="C17">
        <v>0.124</v>
      </c>
      <c r="F17">
        <v>4</v>
      </c>
      <c r="G17">
        <v>0.27500000000000002</v>
      </c>
      <c r="I17">
        <f t="shared" si="0"/>
        <v>3.0227900000000005</v>
      </c>
      <c r="J17">
        <f t="shared" si="1"/>
        <v>1.2634999999999998</v>
      </c>
      <c r="K17">
        <f t="shared" si="2"/>
        <v>4.2862900000000002</v>
      </c>
    </row>
    <row r="18" spans="2:21" x14ac:dyDescent="0.2">
      <c r="M18" s="6">
        <v>0</v>
      </c>
      <c r="N18" s="6"/>
      <c r="O18" s="6"/>
      <c r="P18" s="6">
        <v>20</v>
      </c>
      <c r="Q18" s="6"/>
      <c r="R18" s="6"/>
      <c r="S18" s="6">
        <v>100</v>
      </c>
      <c r="T18" s="6"/>
      <c r="U18" s="6"/>
    </row>
    <row r="19" spans="2:21" x14ac:dyDescent="0.2">
      <c r="M19" t="s">
        <v>6</v>
      </c>
      <c r="N19" t="s">
        <v>7</v>
      </c>
      <c r="O19" t="s">
        <v>8</v>
      </c>
      <c r="P19" t="s">
        <v>6</v>
      </c>
      <c r="Q19" t="s">
        <v>7</v>
      </c>
      <c r="R19" t="s">
        <v>8</v>
      </c>
      <c r="S19" t="s">
        <v>6</v>
      </c>
      <c r="T19" t="s">
        <v>7</v>
      </c>
      <c r="U19" t="s">
        <v>8</v>
      </c>
    </row>
    <row r="20" spans="2:21" x14ac:dyDescent="0.2">
      <c r="M20">
        <v>4.5799149999999997</v>
      </c>
      <c r="N20">
        <v>1.6321500000000002</v>
      </c>
      <c r="O20">
        <v>6.2120650000000008</v>
      </c>
      <c r="P20">
        <v>4.2259725000000001</v>
      </c>
      <c r="Q20">
        <v>1.591375</v>
      </c>
      <c r="R20">
        <v>5.8173475000000003</v>
      </c>
      <c r="S20">
        <v>2.0723674999999999</v>
      </c>
      <c r="T20">
        <v>0.95242499999999997</v>
      </c>
      <c r="U20">
        <v>3.0247925000000002</v>
      </c>
    </row>
    <row r="21" spans="2:21" x14ac:dyDescent="0.2">
      <c r="L21" t="s">
        <v>13</v>
      </c>
      <c r="M21">
        <f>STDEVA(I6:I9)</f>
        <v>0.49198910017567088</v>
      </c>
      <c r="N21">
        <f t="shared" ref="N21:O21" si="3">STDEVA(J6:J9)</f>
        <v>0.15345314974501717</v>
      </c>
      <c r="O21">
        <f t="shared" si="3"/>
        <v>0.64184911442773396</v>
      </c>
      <c r="P21">
        <f>STDEVA(I10:I13)</f>
        <v>1.3124428180908816</v>
      </c>
      <c r="Q21">
        <f t="shared" ref="Q21:R21" si="4">STDEVA(J10:J13)</f>
        <v>0.41434321019335313</v>
      </c>
      <c r="R21">
        <f t="shared" si="4"/>
        <v>1.7267581767843696</v>
      </c>
      <c r="S21">
        <f>STDEVA(I14:I17)</f>
        <v>0.27300732937352951</v>
      </c>
      <c r="T21">
        <f t="shared" ref="T21:U21" si="5">STDEVA(J14:J17)</f>
        <v>0.12788274251568624</v>
      </c>
      <c r="U21">
        <f t="shared" si="5"/>
        <v>0.39876519936549143</v>
      </c>
    </row>
    <row r="36" spans="1:11" x14ac:dyDescent="0.2">
      <c r="A36" s="3" t="s">
        <v>14</v>
      </c>
      <c r="B36" s="3"/>
      <c r="C36" s="3"/>
    </row>
    <row r="37" spans="1:11" x14ac:dyDescent="0.2">
      <c r="A37" t="s">
        <v>15</v>
      </c>
    </row>
    <row r="38" spans="1:11" ht="48" x14ac:dyDescent="0.2">
      <c r="A38" s="2" t="s">
        <v>2</v>
      </c>
      <c r="B38" t="s">
        <v>3</v>
      </c>
      <c r="D38" t="s">
        <v>16</v>
      </c>
      <c r="E38" t="s">
        <v>17</v>
      </c>
      <c r="F38" t="s">
        <v>23</v>
      </c>
    </row>
    <row r="39" spans="1:11" x14ac:dyDescent="0.2">
      <c r="A39" s="6">
        <v>0</v>
      </c>
      <c r="B39">
        <v>1</v>
      </c>
      <c r="C39">
        <v>0</v>
      </c>
      <c r="D39">
        <f>AVERAGE(C39:C42)</f>
        <v>-1E-3</v>
      </c>
      <c r="E39">
        <f>STDEVA(C39:C42)</f>
        <v>8.1649658092772595E-4</v>
      </c>
      <c r="H39" t="s">
        <v>18</v>
      </c>
      <c r="I39" t="s">
        <v>21</v>
      </c>
      <c r="J39" t="s">
        <v>19</v>
      </c>
      <c r="K39" t="s">
        <v>20</v>
      </c>
    </row>
    <row r="40" spans="1:11" x14ac:dyDescent="0.2">
      <c r="A40" s="6"/>
      <c r="B40">
        <v>2</v>
      </c>
      <c r="C40">
        <v>-2E-3</v>
      </c>
      <c r="I40">
        <v>-1E-3</v>
      </c>
      <c r="J40">
        <v>4.4999999999999997E-3</v>
      </c>
      <c r="K40">
        <v>5.6500000000000002E-2</v>
      </c>
    </row>
    <row r="41" spans="1:11" x14ac:dyDescent="0.2">
      <c r="A41" s="6"/>
      <c r="B41">
        <v>3</v>
      </c>
      <c r="C41">
        <v>-1E-3</v>
      </c>
      <c r="H41" t="s">
        <v>13</v>
      </c>
      <c r="I41">
        <v>8.1649658092772595E-4</v>
      </c>
      <c r="J41">
        <v>1.7320508075688774E-3</v>
      </c>
      <c r="K41">
        <v>2.0566963801203125E-2</v>
      </c>
    </row>
    <row r="42" spans="1:11" x14ac:dyDescent="0.2">
      <c r="A42" s="6"/>
      <c r="B42">
        <v>4</v>
      </c>
      <c r="C42">
        <v>-1E-3</v>
      </c>
    </row>
    <row r="43" spans="1:11" x14ac:dyDescent="0.2">
      <c r="A43" s="6">
        <v>20</v>
      </c>
      <c r="B43">
        <v>1</v>
      </c>
      <c r="C43">
        <v>7.0000000000000001E-3</v>
      </c>
      <c r="D43">
        <f>AVERAGE(C43:C46)</f>
        <v>4.4999999999999997E-3</v>
      </c>
      <c r="E43">
        <f>STDEVA(C43:C46)</f>
        <v>1.7320508075688774E-3</v>
      </c>
      <c r="F43">
        <f>_xlfn.T.TEST(C43:C46,C39:C42,2,3)</f>
        <v>3.7171740037094622E-3</v>
      </c>
    </row>
    <row r="44" spans="1:11" x14ac:dyDescent="0.2">
      <c r="A44" s="6"/>
      <c r="B44">
        <v>2</v>
      </c>
      <c r="C44">
        <v>4.0000000000000001E-3</v>
      </c>
    </row>
    <row r="45" spans="1:11" x14ac:dyDescent="0.2">
      <c r="A45" s="6"/>
      <c r="B45">
        <v>3</v>
      </c>
      <c r="C45">
        <v>4.0000000000000001E-3</v>
      </c>
    </row>
    <row r="46" spans="1:11" x14ac:dyDescent="0.2">
      <c r="A46" s="6"/>
      <c r="B46">
        <v>4</v>
      </c>
      <c r="C46">
        <v>3.0000000000000001E-3</v>
      </c>
    </row>
    <row r="47" spans="1:11" x14ac:dyDescent="0.2">
      <c r="A47" s="6">
        <v>100</v>
      </c>
      <c r="B47">
        <v>1</v>
      </c>
      <c r="C47">
        <v>5.3999999999999999E-2</v>
      </c>
      <c r="D47">
        <f>AVERAGE(C47:C50)</f>
        <v>5.6500000000000002E-2</v>
      </c>
      <c r="E47">
        <f>STDEVA(C47:C50)</f>
        <v>2.0566963801203125E-2</v>
      </c>
      <c r="F47">
        <f>_xlfn.T.TEST(C47:C50,C39:C42,2,3)</f>
        <v>1.1228410962722936E-2</v>
      </c>
    </row>
    <row r="48" spans="1:11" x14ac:dyDescent="0.2">
      <c r="A48" s="6"/>
      <c r="B48">
        <v>2</v>
      </c>
      <c r="C48">
        <v>8.5000000000000006E-2</v>
      </c>
    </row>
    <row r="49" spans="1:3" x14ac:dyDescent="0.2">
      <c r="A49" s="6"/>
      <c r="B49">
        <v>3</v>
      </c>
      <c r="C49">
        <v>3.5999999999999997E-2</v>
      </c>
    </row>
    <row r="50" spans="1:3" x14ac:dyDescent="0.2">
      <c r="A50" s="6"/>
      <c r="B50">
        <v>4</v>
      </c>
      <c r="C50">
        <v>5.0999999999999997E-2</v>
      </c>
    </row>
  </sheetData>
  <mergeCells count="6">
    <mergeCell ref="A47:A50"/>
    <mergeCell ref="M18:O18"/>
    <mergeCell ref="P18:R18"/>
    <mergeCell ref="S18:U18"/>
    <mergeCell ref="A39:A42"/>
    <mergeCell ref="A43:A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Schenck, Craig</cp:lastModifiedBy>
  <dcterms:created xsi:type="dcterms:W3CDTF">2025-03-26T00:49:40Z</dcterms:created>
  <dcterms:modified xsi:type="dcterms:W3CDTF">2026-09-21T14:12:08Z</dcterms:modified>
</cp:coreProperties>
</file>