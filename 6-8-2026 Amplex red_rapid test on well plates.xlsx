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cas28y_umsystem_edu/Documents/Writing/Papers/Aze phentypic response_Asha/"/>
    </mc:Choice>
  </mc:AlternateContent>
  <xr:revisionPtr revIDLastSave="26" documentId="8_{A2DC376A-CBA0-4A39-8EA2-6895786BAF67}" xr6:coauthVersionLast="47" xr6:coauthVersionMax="47" xr10:uidLastSave="{0D6F2B28-5A39-E94A-AF96-E062E8C3B987}"/>
  <bookViews>
    <workbookView xWindow="3260" yWindow="960" windowWidth="23760" windowHeight="15700" xr2:uid="{1D0FE471-F212-4FB0-A645-F6D201ACD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5" i="1" l="1"/>
  <c r="P65" i="1"/>
  <c r="P66" i="1"/>
  <c r="P67" i="1"/>
  <c r="O66" i="1"/>
  <c r="O67" i="1"/>
  <c r="I65" i="1"/>
  <c r="J65" i="1"/>
  <c r="K65" i="1"/>
  <c r="L65" i="1"/>
  <c r="M65" i="1"/>
  <c r="N65" i="1"/>
  <c r="I66" i="1"/>
  <c r="J66" i="1"/>
  <c r="K66" i="1"/>
  <c r="L66" i="1"/>
  <c r="M66" i="1"/>
  <c r="N66" i="1"/>
  <c r="I67" i="1"/>
  <c r="J67" i="1"/>
  <c r="K67" i="1"/>
  <c r="L67" i="1"/>
  <c r="M67" i="1"/>
  <c r="N67" i="1"/>
  <c r="J57" i="1"/>
  <c r="K57" i="1"/>
  <c r="L57" i="1"/>
  <c r="M57" i="1"/>
  <c r="N57" i="1"/>
  <c r="I57" i="1"/>
  <c r="J56" i="1"/>
  <c r="K56" i="1"/>
  <c r="L56" i="1"/>
  <c r="M56" i="1"/>
  <c r="N56" i="1"/>
  <c r="I56" i="1"/>
  <c r="J55" i="1"/>
  <c r="K55" i="1"/>
  <c r="L55" i="1"/>
  <c r="M55" i="1"/>
  <c r="N55" i="1"/>
  <c r="I55" i="1"/>
  <c r="J54" i="1"/>
  <c r="K54" i="1"/>
  <c r="L54" i="1"/>
  <c r="M54" i="1"/>
  <c r="N54" i="1"/>
  <c r="I54" i="1"/>
  <c r="J53" i="1"/>
  <c r="K53" i="1"/>
  <c r="L53" i="1"/>
  <c r="M53" i="1"/>
  <c r="N53" i="1"/>
  <c r="I53" i="1"/>
  <c r="J52" i="1"/>
  <c r="K52" i="1"/>
  <c r="L52" i="1"/>
  <c r="M52" i="1"/>
  <c r="N52" i="1"/>
  <c r="I52" i="1"/>
  <c r="I42" i="1"/>
  <c r="J42" i="1"/>
  <c r="K42" i="1"/>
  <c r="L42" i="1"/>
  <c r="M42" i="1"/>
  <c r="N42" i="1"/>
  <c r="I43" i="1"/>
  <c r="J43" i="1"/>
  <c r="K43" i="1"/>
  <c r="L43" i="1"/>
  <c r="M43" i="1"/>
  <c r="N43" i="1"/>
  <c r="I44" i="1"/>
  <c r="J44" i="1"/>
  <c r="K44" i="1"/>
  <c r="L44" i="1"/>
  <c r="M44" i="1"/>
  <c r="N44" i="1"/>
  <c r="I45" i="1"/>
  <c r="J45" i="1"/>
  <c r="K45" i="1"/>
  <c r="L45" i="1"/>
  <c r="M45" i="1"/>
  <c r="N45" i="1"/>
  <c r="I46" i="1"/>
  <c r="J46" i="1"/>
  <c r="K46" i="1"/>
  <c r="L46" i="1"/>
  <c r="M46" i="1"/>
  <c r="N46" i="1"/>
  <c r="J41" i="1"/>
  <c r="K41" i="1"/>
  <c r="L41" i="1"/>
  <c r="M41" i="1"/>
  <c r="N41" i="1"/>
  <c r="I41" i="1"/>
  <c r="I31" i="1"/>
  <c r="J31" i="1"/>
  <c r="K31" i="1"/>
  <c r="L31" i="1"/>
  <c r="M31" i="1"/>
  <c r="N31" i="1"/>
  <c r="I32" i="1"/>
  <c r="J32" i="1"/>
  <c r="K32" i="1"/>
  <c r="L32" i="1"/>
  <c r="M32" i="1"/>
  <c r="N32" i="1"/>
  <c r="I33" i="1"/>
  <c r="J33" i="1"/>
  <c r="K33" i="1"/>
  <c r="L33" i="1"/>
  <c r="M33" i="1"/>
  <c r="N33" i="1"/>
  <c r="I34" i="1"/>
  <c r="J34" i="1"/>
  <c r="K34" i="1"/>
  <c r="L34" i="1"/>
  <c r="M34" i="1"/>
  <c r="N34" i="1"/>
  <c r="I35" i="1"/>
  <c r="J35" i="1"/>
  <c r="K35" i="1"/>
  <c r="L35" i="1"/>
  <c r="M35" i="1"/>
  <c r="N35" i="1"/>
  <c r="J30" i="1"/>
  <c r="K30" i="1"/>
  <c r="L30" i="1"/>
  <c r="M30" i="1"/>
  <c r="N30" i="1"/>
  <c r="I30" i="1"/>
  <c r="D27" i="1"/>
  <c r="E27" i="1"/>
  <c r="F27" i="1"/>
  <c r="G27" i="1"/>
  <c r="H27" i="1"/>
  <c r="I27" i="1"/>
  <c r="J27" i="1"/>
  <c r="K27" i="1"/>
  <c r="L27" i="1"/>
  <c r="C27" i="1"/>
  <c r="D26" i="1"/>
  <c r="E26" i="1"/>
  <c r="F26" i="1"/>
  <c r="G26" i="1"/>
  <c r="H26" i="1"/>
  <c r="I26" i="1"/>
  <c r="J26" i="1"/>
  <c r="K26" i="1"/>
  <c r="L26" i="1"/>
  <c r="C26" i="1"/>
  <c r="D24" i="1"/>
  <c r="E24" i="1"/>
  <c r="F24" i="1"/>
  <c r="G24" i="1"/>
  <c r="H24" i="1"/>
  <c r="I24" i="1"/>
  <c r="J24" i="1"/>
  <c r="K24" i="1"/>
  <c r="L24" i="1"/>
  <c r="C24" i="1"/>
  <c r="C23" i="1"/>
</calcChain>
</file>

<file path=xl/sharedStrings.xml><?xml version="1.0" encoding="utf-8"?>
<sst xmlns="http://schemas.openxmlformats.org/spreadsheetml/2006/main" count="156" uniqueCount="32">
  <si>
    <t>A</t>
  </si>
  <si>
    <t>B</t>
  </si>
  <si>
    <t>C</t>
  </si>
  <si>
    <t>D</t>
  </si>
  <si>
    <t>E</t>
  </si>
  <si>
    <t>F</t>
  </si>
  <si>
    <t>G</t>
  </si>
  <si>
    <t>H</t>
  </si>
  <si>
    <t>0 Aze</t>
  </si>
  <si>
    <t>100 Aze</t>
  </si>
  <si>
    <t>A+P</t>
  </si>
  <si>
    <t>HRP + RB</t>
  </si>
  <si>
    <t>S</t>
  </si>
  <si>
    <t>AR + HRP + RB</t>
  </si>
  <si>
    <t>AR + RB</t>
  </si>
  <si>
    <t>30 min</t>
  </si>
  <si>
    <t>60 min</t>
  </si>
  <si>
    <t>mean A</t>
  </si>
  <si>
    <t>mean H2O2</t>
  </si>
  <si>
    <t>mean H2O2 - A</t>
  </si>
  <si>
    <t>(mean H2O2 - A - mean H2O2 of 0</t>
  </si>
  <si>
    <t>y = 2610.1x + 4737.9</t>
  </si>
  <si>
    <t>x = (y - 4737.9) / 2610.1</t>
  </si>
  <si>
    <t>S-C</t>
  </si>
  <si>
    <t>sample was 25ul</t>
  </si>
  <si>
    <t>H2O2 uM in 25ul</t>
  </si>
  <si>
    <t>H2O2 uM in initial sample</t>
  </si>
  <si>
    <t>initial vol</t>
  </si>
  <si>
    <t xml:space="preserve"> A</t>
  </si>
  <si>
    <t>Ave</t>
  </si>
  <si>
    <t>H2O2 uM in1 mg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</si>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</sst>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left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H2O2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Sheet1!$O$25:$X$25</c:f>
              <c:numCache>
                <c:formatCode>General</c:formatCode>
                <c:ptCount val="10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50</c:v>
                </c:pt>
              </c:numCache>
            </c:numRef>
          </c:xVal>
          <c:yVal>
            <c:numRef>
              <c:f>Sheet1!$O$26:$X$26</c:f>
              <c:numCache>
                <c:formatCode>General</c:formatCode>
                <c:ptCount val="10"/>
                <c:pt idx="0">
                  <c:v>0</c:v>
                </c:pt>
                <c:pt idx="1">
                  <c:v>449</c:v>
                </c:pt>
                <c:pt idx="2">
                  <c:v>1464</c:v>
                </c:pt>
                <c:pt idx="3">
                  <c:v>3456.5</c:v>
                </c:pt>
                <c:pt idx="4">
                  <c:v>7817</c:v>
                </c:pt>
                <c:pt idx="5">
                  <c:v>20260</c:v>
                </c:pt>
                <c:pt idx="6">
                  <c:v>36670.5</c:v>
                </c:pt>
                <c:pt idx="7">
                  <c:v>53229.5</c:v>
                </c:pt>
                <c:pt idx="8">
                  <c:v>67776.5</c:v>
                </c:pt>
                <c:pt idx="9">
                  <c:v>126918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DA-4D73-9F31-B99379D4B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349872"/>
        <c:axId val="1130346032"/>
      </c:scatterChart>
      <c:valAx>
        <c:axId val="113034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46032"/>
        <c:crosses val="autoZero"/>
        <c:crossBetween val="midCat"/>
      </c:valAx>
      <c:valAx>
        <c:axId val="11303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4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 w="317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Sheet1!$G$73:$G$75</c:f>
                <c:numCache>
                  <c:formatCode>General</c:formatCode>
                  <c:ptCount val="3"/>
                  <c:pt idx="0">
                    <c:v>4.0087425835439977E-2</c:v>
                  </c:pt>
                  <c:pt idx="1">
                    <c:v>5.6946666150980305E-2</c:v>
                  </c:pt>
                  <c:pt idx="2">
                    <c:v>4.7301124867851117E-2</c:v>
                  </c:pt>
                </c:numCache>
              </c:numRef>
            </c:plus>
            <c:minus>
              <c:numRef>
                <c:f>Sheet1!$G$73:$G$75</c:f>
                <c:numCache>
                  <c:formatCode>General</c:formatCode>
                  <c:ptCount val="3"/>
                  <c:pt idx="0">
                    <c:v>4.0087425835439977E-2</c:v>
                  </c:pt>
                  <c:pt idx="1">
                    <c:v>5.6946666150980305E-2</c:v>
                  </c:pt>
                  <c:pt idx="2">
                    <c:v>4.7301124867851117E-2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Sheet1!$E$73:$E$75</c:f>
              <c:strCache>
                <c:ptCount val="3"/>
                <c:pt idx="0">
                  <c:v>0 Aze</c:v>
                </c:pt>
                <c:pt idx="1">
                  <c:v>100 Aze</c:v>
                </c:pt>
                <c:pt idx="2">
                  <c:v>A+P</c:v>
                </c:pt>
              </c:strCache>
            </c:strRef>
          </c:cat>
          <c:val>
            <c:numRef>
              <c:f>Sheet1!$F$73:$F$75</c:f>
              <c:numCache>
                <c:formatCode>General</c:formatCode>
                <c:ptCount val="3"/>
                <c:pt idx="0">
                  <c:v>0.54438760200758596</c:v>
                </c:pt>
                <c:pt idx="1">
                  <c:v>0.78457412870515819</c:v>
                </c:pt>
                <c:pt idx="2">
                  <c:v>0.62408716907398187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C-4B13-A255-3F937D98D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226512"/>
        <c:axId val="1130229392"/>
      </c:barChart>
      <c:catAx>
        <c:axId val="113022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29392"/>
        <c:crosses val="autoZero"/>
        <c:auto val="1"/>
        <c:lblAlgn val="ctr"/>
        <c:lblOffset val="100"/>
        <c:noMultiLvlLbl val="0"/>
      </c:catAx>
      <c:valAx>
        <c:axId val="1130229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022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409575</xdr:colOff>
      <xdr:row>26</xdr:row>
      <xdr:rowOff>188912</xdr:rowOff>
    </xdr:from>
    <xdr:to>
      <xdr:col>23</xdr:col>
      <xdr:colOff>104775</xdr:colOff>
      <xdr:row>38</xdr:row>
      <xdr:rowOff>150812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41537-DC31-8460-D115-387ED9DF5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352029</xdr:colOff>
      <xdr:row>73</xdr:row>
      <xdr:rowOff>158750</xdr:rowOff>
    </xdr:from>
    <xdr:to>
      <xdr:col>15</xdr:col>
      <xdr:colOff>365126</xdr:colOff>
      <xdr:row>92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4C68E7-63DE-F943-56F2-AEA4BB7FD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E28B-6014-4562-9AAB-4A59D3BF77F0}">
  <dimension ref="A2:AI85"/>
  <sheetViews>
    <sheetView tabSelected="1" topLeftCell="D60" zoomScale="80" zoomScaleNormal="80" workbookViewId="0">
      <selection activeCell="M71" sqref="M71"/>
    </sheetView>
  </sheetViews>
  <sheetFormatPr baseColWidth="10" defaultColWidth="8.83203125" defaultRowHeight="15" x14ac:dyDescent="0.2"/>
  <cols>
    <col min="9" max="9" width="12" bestFit="1" customWidth="1"/>
    <col min="15" max="16" width="11.83203125" bestFit="1" customWidth="1"/>
    <col min="17" max="17" width="11.1640625" customWidth="1"/>
    <col min="18" max="18" width="12.33203125" bestFit="1" customWidth="1"/>
  </cols>
  <sheetData>
    <row r="2" spans="1:17" x14ac:dyDescent="0.2"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1:17" x14ac:dyDescent="0.2">
      <c r="B3" s="2" t="s">
        <v>0</v>
      </c>
      <c r="C3" s="3">
        <v>4</v>
      </c>
      <c r="D3" s="3">
        <v>0</v>
      </c>
      <c r="E3" s="3">
        <v>0</v>
      </c>
      <c r="F3" s="3">
        <v>4</v>
      </c>
      <c r="G3" s="3">
        <v>0</v>
      </c>
      <c r="H3" s="3">
        <v>0</v>
      </c>
      <c r="I3" s="3">
        <v>14751</v>
      </c>
      <c r="J3" s="3">
        <v>16700</v>
      </c>
      <c r="K3" s="3">
        <v>16011</v>
      </c>
      <c r="L3" s="3">
        <v>14769</v>
      </c>
      <c r="M3" s="3">
        <v>15298</v>
      </c>
      <c r="N3" s="3">
        <v>14121</v>
      </c>
      <c r="O3" s="4">
        <v>540590</v>
      </c>
    </row>
    <row r="4" spans="1:17" x14ac:dyDescent="0.2">
      <c r="B4" s="2" t="s">
        <v>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12155</v>
      </c>
      <c r="J4" s="3">
        <v>12170</v>
      </c>
      <c r="K4" s="3">
        <v>11914</v>
      </c>
      <c r="L4" s="3">
        <v>11132</v>
      </c>
      <c r="M4" s="3">
        <v>11139</v>
      </c>
      <c r="N4" s="3">
        <v>11634</v>
      </c>
      <c r="O4" s="4">
        <v>540590</v>
      </c>
    </row>
    <row r="5" spans="1:17" x14ac:dyDescent="0.2">
      <c r="B5" s="2" t="s">
        <v>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11467</v>
      </c>
      <c r="J5" s="3">
        <v>10226</v>
      </c>
      <c r="K5" s="3">
        <v>9547</v>
      </c>
      <c r="L5" s="3">
        <v>10380</v>
      </c>
      <c r="M5" s="3">
        <v>9990</v>
      </c>
      <c r="N5" s="3">
        <v>10299</v>
      </c>
      <c r="O5" s="4">
        <v>540590</v>
      </c>
    </row>
    <row r="6" spans="1:17" x14ac:dyDescent="0.2">
      <c r="B6" s="2" t="s">
        <v>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20</v>
      </c>
      <c r="I6" s="3">
        <v>10263</v>
      </c>
      <c r="J6" s="3">
        <v>10497</v>
      </c>
      <c r="K6" s="3">
        <v>9951</v>
      </c>
      <c r="L6" s="3">
        <v>9724</v>
      </c>
      <c r="M6" s="3">
        <v>9812</v>
      </c>
      <c r="N6" s="3">
        <v>9452</v>
      </c>
      <c r="O6" s="4">
        <v>540590</v>
      </c>
    </row>
    <row r="7" spans="1:17" x14ac:dyDescent="0.2">
      <c r="B7" s="2" t="s">
        <v>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11544</v>
      </c>
      <c r="J7" s="3">
        <v>11766</v>
      </c>
      <c r="K7" s="3">
        <v>11468</v>
      </c>
      <c r="L7" s="3">
        <v>10947</v>
      </c>
      <c r="M7" s="3">
        <v>10475</v>
      </c>
      <c r="N7" s="3">
        <v>11110</v>
      </c>
      <c r="O7" s="4">
        <v>540590</v>
      </c>
    </row>
    <row r="8" spans="1:17" x14ac:dyDescent="0.2">
      <c r="B8" s="2" t="s">
        <v>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10216</v>
      </c>
      <c r="J8" s="3">
        <v>9741</v>
      </c>
      <c r="K8" s="3">
        <v>9819</v>
      </c>
      <c r="L8" s="3">
        <v>9573</v>
      </c>
      <c r="M8" s="3">
        <v>9492</v>
      </c>
      <c r="N8" s="3">
        <v>9096</v>
      </c>
      <c r="O8" s="4">
        <v>540590</v>
      </c>
    </row>
    <row r="9" spans="1:17" x14ac:dyDescent="0.2">
      <c r="B9" s="2" t="s">
        <v>6</v>
      </c>
      <c r="C9" s="3">
        <v>1447</v>
      </c>
      <c r="D9" s="3">
        <v>1872</v>
      </c>
      <c r="E9" s="3">
        <v>2877</v>
      </c>
      <c r="F9" s="3">
        <v>4903</v>
      </c>
      <c r="G9" s="3">
        <v>9349</v>
      </c>
      <c r="H9" s="3">
        <v>21112</v>
      </c>
      <c r="I9" s="3">
        <v>38003</v>
      </c>
      <c r="J9" s="3">
        <v>56018</v>
      </c>
      <c r="K9" s="3">
        <v>69071</v>
      </c>
      <c r="L9" s="3">
        <v>127804</v>
      </c>
      <c r="M9" s="3">
        <v>245</v>
      </c>
      <c r="N9" s="3">
        <v>292</v>
      </c>
      <c r="O9" s="4">
        <v>540590</v>
      </c>
    </row>
    <row r="10" spans="1:17" x14ac:dyDescent="0.2">
      <c r="B10" s="2" t="s">
        <v>7</v>
      </c>
      <c r="C10" s="3">
        <v>1512</v>
      </c>
      <c r="D10" s="3">
        <v>1985</v>
      </c>
      <c r="E10" s="3">
        <v>3010</v>
      </c>
      <c r="F10" s="3">
        <v>4969</v>
      </c>
      <c r="G10" s="3">
        <v>9244</v>
      </c>
      <c r="H10" s="3">
        <v>22367</v>
      </c>
      <c r="I10" s="3">
        <v>38297</v>
      </c>
      <c r="J10" s="3">
        <v>53400</v>
      </c>
      <c r="K10" s="3">
        <v>69441</v>
      </c>
      <c r="L10" s="3">
        <v>128991</v>
      </c>
      <c r="M10" s="3">
        <v>0</v>
      </c>
      <c r="N10" s="3">
        <v>0</v>
      </c>
      <c r="O10" s="4">
        <v>540590</v>
      </c>
    </row>
    <row r="13" spans="1:17" x14ac:dyDescent="0.2">
      <c r="A13" s="18" t="s">
        <v>15</v>
      </c>
      <c r="B13" s="2" t="s">
        <v>0</v>
      </c>
      <c r="C13" s="9" t="s">
        <v>8</v>
      </c>
      <c r="D13" s="9" t="s">
        <v>8</v>
      </c>
      <c r="E13" s="9" t="s">
        <v>8</v>
      </c>
      <c r="F13" s="9" t="s">
        <v>8</v>
      </c>
      <c r="G13" s="9" t="s">
        <v>8</v>
      </c>
      <c r="H13" s="9" t="s">
        <v>8</v>
      </c>
      <c r="I13" s="10" t="s">
        <v>8</v>
      </c>
      <c r="J13" s="10" t="s">
        <v>8</v>
      </c>
      <c r="K13" s="10" t="s">
        <v>8</v>
      </c>
      <c r="L13" s="10" t="s">
        <v>8</v>
      </c>
      <c r="M13" s="10" t="s">
        <v>8</v>
      </c>
      <c r="N13" s="10" t="s">
        <v>8</v>
      </c>
    </row>
    <row r="14" spans="1:17" x14ac:dyDescent="0.2">
      <c r="A14" s="18"/>
      <c r="B14" s="2" t="s">
        <v>1</v>
      </c>
      <c r="C14" s="9" t="s">
        <v>9</v>
      </c>
      <c r="D14" s="9" t="s">
        <v>9</v>
      </c>
      <c r="E14" s="9" t="s">
        <v>9</v>
      </c>
      <c r="F14" s="9" t="s">
        <v>9</v>
      </c>
      <c r="G14" s="9" t="s">
        <v>9</v>
      </c>
      <c r="H14" s="9" t="s">
        <v>9</v>
      </c>
      <c r="I14" s="10" t="s">
        <v>9</v>
      </c>
      <c r="J14" s="10" t="s">
        <v>9</v>
      </c>
      <c r="K14" s="10" t="s">
        <v>9</v>
      </c>
      <c r="L14" s="10" t="s">
        <v>9</v>
      </c>
      <c r="M14" s="10" t="s">
        <v>9</v>
      </c>
      <c r="N14" s="10" t="s">
        <v>9</v>
      </c>
      <c r="P14" s="5" t="s">
        <v>2</v>
      </c>
      <c r="Q14" t="s">
        <v>11</v>
      </c>
    </row>
    <row r="15" spans="1:17" x14ac:dyDescent="0.2">
      <c r="A15" s="18"/>
      <c r="B15" s="2" t="s">
        <v>2</v>
      </c>
      <c r="C15" s="9" t="s">
        <v>10</v>
      </c>
      <c r="D15" s="9" t="s">
        <v>10</v>
      </c>
      <c r="E15" s="9" t="s">
        <v>10</v>
      </c>
      <c r="F15" s="9" t="s">
        <v>10</v>
      </c>
      <c r="G15" s="9" t="s">
        <v>10</v>
      </c>
      <c r="H15" s="9" t="s">
        <v>10</v>
      </c>
      <c r="I15" s="10" t="s">
        <v>10</v>
      </c>
      <c r="J15" s="10" t="s">
        <v>10</v>
      </c>
      <c r="K15" s="10" t="s">
        <v>10</v>
      </c>
      <c r="L15" s="10" t="s">
        <v>10</v>
      </c>
      <c r="M15" s="10" t="s">
        <v>10</v>
      </c>
      <c r="N15" s="10" t="s">
        <v>10</v>
      </c>
      <c r="P15" s="6" t="s">
        <v>12</v>
      </c>
      <c r="Q15" t="s">
        <v>13</v>
      </c>
    </row>
    <row r="16" spans="1:17" x14ac:dyDescent="0.2">
      <c r="A16" s="19" t="s">
        <v>16</v>
      </c>
      <c r="B16" s="2" t="s">
        <v>3</v>
      </c>
      <c r="C16" s="9" t="s">
        <v>8</v>
      </c>
      <c r="D16" s="9" t="s">
        <v>8</v>
      </c>
      <c r="E16" s="9" t="s">
        <v>8</v>
      </c>
      <c r="F16" s="9" t="s">
        <v>8</v>
      </c>
      <c r="G16" s="9" t="s">
        <v>8</v>
      </c>
      <c r="H16" s="9" t="s">
        <v>8</v>
      </c>
      <c r="I16" s="10" t="s">
        <v>8</v>
      </c>
      <c r="J16" s="10" t="s">
        <v>8</v>
      </c>
      <c r="K16" s="10" t="s">
        <v>8</v>
      </c>
      <c r="L16" s="10" t="s">
        <v>8</v>
      </c>
      <c r="M16" s="10" t="s">
        <v>8</v>
      </c>
      <c r="N16" s="10" t="s">
        <v>8</v>
      </c>
      <c r="P16" s="7" t="s">
        <v>0</v>
      </c>
      <c r="Q16" t="s">
        <v>14</v>
      </c>
    </row>
    <row r="17" spans="1:24" x14ac:dyDescent="0.2">
      <c r="A17" s="19"/>
      <c r="B17" s="2" t="s">
        <v>4</v>
      </c>
      <c r="C17" s="9" t="s">
        <v>9</v>
      </c>
      <c r="D17" s="9" t="s">
        <v>9</v>
      </c>
      <c r="E17" s="9" t="s">
        <v>9</v>
      </c>
      <c r="F17" s="9" t="s">
        <v>9</v>
      </c>
      <c r="G17" s="9" t="s">
        <v>9</v>
      </c>
      <c r="H17" s="9" t="s">
        <v>9</v>
      </c>
      <c r="I17" s="10" t="s">
        <v>9</v>
      </c>
      <c r="J17" s="10" t="s">
        <v>9</v>
      </c>
      <c r="K17" s="10" t="s">
        <v>9</v>
      </c>
      <c r="L17" s="10" t="s">
        <v>9</v>
      </c>
      <c r="M17" s="10" t="s">
        <v>9</v>
      </c>
      <c r="N17" s="10" t="s">
        <v>9</v>
      </c>
    </row>
    <row r="18" spans="1:24" x14ac:dyDescent="0.2">
      <c r="A18" s="19"/>
      <c r="B18" s="2" t="s">
        <v>5</v>
      </c>
      <c r="C18" s="9" t="s">
        <v>10</v>
      </c>
      <c r="D18" s="9" t="s">
        <v>10</v>
      </c>
      <c r="E18" s="9" t="s">
        <v>10</v>
      </c>
      <c r="F18" s="9" t="s">
        <v>10</v>
      </c>
      <c r="G18" s="9" t="s">
        <v>10</v>
      </c>
      <c r="H18" s="9" t="s">
        <v>10</v>
      </c>
      <c r="I18" s="10" t="s">
        <v>10</v>
      </c>
      <c r="J18" s="10" t="s">
        <v>10</v>
      </c>
      <c r="K18" s="10" t="s">
        <v>10</v>
      </c>
      <c r="L18" s="10" t="s">
        <v>10</v>
      </c>
      <c r="M18" s="10" t="s">
        <v>10</v>
      </c>
      <c r="N18" s="10" t="s">
        <v>10</v>
      </c>
    </row>
    <row r="19" spans="1:24" x14ac:dyDescent="0.2">
      <c r="B19" s="2" t="s">
        <v>6</v>
      </c>
      <c r="C19" s="10">
        <v>0</v>
      </c>
      <c r="D19" s="10">
        <v>0.2</v>
      </c>
      <c r="E19" s="10">
        <v>0.5</v>
      </c>
      <c r="F19" s="10">
        <v>1</v>
      </c>
      <c r="G19" s="10">
        <v>2</v>
      </c>
      <c r="H19" s="10">
        <v>5</v>
      </c>
      <c r="I19" s="10">
        <v>10</v>
      </c>
      <c r="J19" s="10">
        <v>15</v>
      </c>
      <c r="K19" s="10">
        <v>20</v>
      </c>
      <c r="L19" s="10">
        <v>50</v>
      </c>
      <c r="M19" s="8" t="s">
        <v>0</v>
      </c>
      <c r="N19" s="8" t="s">
        <v>0</v>
      </c>
    </row>
    <row r="20" spans="1:24" x14ac:dyDescent="0.2">
      <c r="B20" s="2" t="s">
        <v>7</v>
      </c>
      <c r="C20" s="10">
        <v>0</v>
      </c>
      <c r="D20" s="10">
        <v>0.2</v>
      </c>
      <c r="E20" s="10">
        <v>0.5</v>
      </c>
      <c r="F20" s="10">
        <v>1</v>
      </c>
      <c r="G20" s="10">
        <v>2</v>
      </c>
      <c r="H20" s="10">
        <v>5</v>
      </c>
      <c r="I20" s="10">
        <v>10</v>
      </c>
      <c r="J20" s="10">
        <v>15</v>
      </c>
      <c r="K20" s="10">
        <v>20</v>
      </c>
      <c r="L20" s="10">
        <v>50</v>
      </c>
      <c r="M20" s="3"/>
      <c r="N20" s="3"/>
    </row>
    <row r="23" spans="1:24" x14ac:dyDescent="0.2">
      <c r="B23" s="11" t="s">
        <v>17</v>
      </c>
      <c r="C23">
        <f xml:space="preserve"> AVERAGE(M9:N9)</f>
        <v>268.5</v>
      </c>
    </row>
    <row r="24" spans="1:24" ht="28" x14ac:dyDescent="0.2">
      <c r="B24" s="11" t="s">
        <v>18</v>
      </c>
      <c r="C24">
        <f>AVERAGE(C9:C10)</f>
        <v>1479.5</v>
      </c>
      <c r="D24">
        <f t="shared" ref="D24:L24" si="0">AVERAGE(D9:D10)</f>
        <v>1928.5</v>
      </c>
      <c r="E24">
        <f t="shared" si="0"/>
        <v>2943.5</v>
      </c>
      <c r="F24">
        <f t="shared" si="0"/>
        <v>4936</v>
      </c>
      <c r="G24">
        <f t="shared" si="0"/>
        <v>9296.5</v>
      </c>
      <c r="H24">
        <f t="shared" si="0"/>
        <v>21739.5</v>
      </c>
      <c r="I24">
        <f t="shared" si="0"/>
        <v>38150</v>
      </c>
      <c r="J24">
        <f t="shared" si="0"/>
        <v>54709</v>
      </c>
      <c r="K24">
        <f t="shared" si="0"/>
        <v>69256</v>
      </c>
      <c r="L24">
        <f t="shared" si="0"/>
        <v>128397.5</v>
      </c>
    </row>
    <row r="25" spans="1:24" x14ac:dyDescent="0.2">
      <c r="O25">
        <v>0</v>
      </c>
      <c r="P25">
        <v>0.2</v>
      </c>
      <c r="Q25">
        <v>0.5</v>
      </c>
      <c r="R25">
        <v>1</v>
      </c>
      <c r="S25">
        <v>2</v>
      </c>
      <c r="T25">
        <v>5</v>
      </c>
      <c r="U25">
        <v>10</v>
      </c>
      <c r="V25">
        <v>15</v>
      </c>
      <c r="W25">
        <v>20</v>
      </c>
      <c r="X25">
        <v>50</v>
      </c>
    </row>
    <row r="26" spans="1:24" ht="28" x14ac:dyDescent="0.2">
      <c r="B26" s="11" t="s">
        <v>19</v>
      </c>
      <c r="C26">
        <f>C24-268.5</f>
        <v>1211</v>
      </c>
      <c r="D26">
        <f t="shared" ref="D26:L26" si="1">D24-268.5</f>
        <v>1660</v>
      </c>
      <c r="E26">
        <f t="shared" si="1"/>
        <v>2675</v>
      </c>
      <c r="F26">
        <f t="shared" si="1"/>
        <v>4667.5</v>
      </c>
      <c r="G26">
        <f t="shared" si="1"/>
        <v>9028</v>
      </c>
      <c r="H26">
        <f t="shared" si="1"/>
        <v>21471</v>
      </c>
      <c r="I26">
        <f t="shared" si="1"/>
        <v>37881.5</v>
      </c>
      <c r="J26">
        <f t="shared" si="1"/>
        <v>54440.5</v>
      </c>
      <c r="K26">
        <f t="shared" si="1"/>
        <v>68987.5</v>
      </c>
      <c r="L26">
        <f t="shared" si="1"/>
        <v>128129</v>
      </c>
      <c r="O26">
        <v>0</v>
      </c>
      <c r="P26">
        <v>449</v>
      </c>
      <c r="Q26">
        <v>1464</v>
      </c>
      <c r="R26">
        <v>3456.5</v>
      </c>
      <c r="S26">
        <v>7817</v>
      </c>
      <c r="T26">
        <v>20260</v>
      </c>
      <c r="U26">
        <v>36670.5</v>
      </c>
      <c r="V26">
        <v>53229.5</v>
      </c>
      <c r="W26">
        <v>67776.5</v>
      </c>
      <c r="X26">
        <v>126918</v>
      </c>
    </row>
    <row r="27" spans="1:24" ht="70" x14ac:dyDescent="0.2">
      <c r="B27" s="12" t="s">
        <v>20</v>
      </c>
      <c r="C27">
        <f>C26-1211</f>
        <v>0</v>
      </c>
      <c r="D27">
        <f t="shared" ref="D27:L27" si="2">D26-1211</f>
        <v>449</v>
      </c>
      <c r="E27">
        <f t="shared" si="2"/>
        <v>1464</v>
      </c>
      <c r="F27">
        <f t="shared" si="2"/>
        <v>3456.5</v>
      </c>
      <c r="G27">
        <f t="shared" si="2"/>
        <v>7817</v>
      </c>
      <c r="H27">
        <f t="shared" si="2"/>
        <v>20260</v>
      </c>
      <c r="I27">
        <f t="shared" si="2"/>
        <v>36670.5</v>
      </c>
      <c r="J27">
        <f t="shared" si="2"/>
        <v>53229.5</v>
      </c>
      <c r="K27">
        <f t="shared" si="2"/>
        <v>67776.5</v>
      </c>
      <c r="L27">
        <f t="shared" si="2"/>
        <v>126918</v>
      </c>
    </row>
    <row r="30" spans="1:24" x14ac:dyDescent="0.2">
      <c r="B30" s="2" t="s">
        <v>23</v>
      </c>
      <c r="C30" s="3"/>
      <c r="D30" s="3"/>
      <c r="E30" s="3"/>
      <c r="F30" s="3"/>
      <c r="G30" s="3"/>
      <c r="H30" s="3"/>
      <c r="I30" s="13">
        <f>I3-C3</f>
        <v>14747</v>
      </c>
      <c r="J30" s="13">
        <f t="shared" ref="J30:N30" si="3">J3-D3</f>
        <v>16700</v>
      </c>
      <c r="K30" s="13">
        <f t="shared" si="3"/>
        <v>16011</v>
      </c>
      <c r="L30" s="13">
        <f t="shared" si="3"/>
        <v>14765</v>
      </c>
      <c r="M30" s="13">
        <f t="shared" si="3"/>
        <v>15298</v>
      </c>
      <c r="N30" s="13">
        <f t="shared" si="3"/>
        <v>14121</v>
      </c>
    </row>
    <row r="31" spans="1:24" x14ac:dyDescent="0.2">
      <c r="B31" s="2" t="s">
        <v>1</v>
      </c>
      <c r="C31" s="3"/>
      <c r="D31" s="3"/>
      <c r="E31" s="3"/>
      <c r="F31" s="3"/>
      <c r="G31" s="3"/>
      <c r="H31" s="3"/>
      <c r="I31" s="13">
        <f t="shared" ref="I31:I35" si="4">I4-C4</f>
        <v>12155</v>
      </c>
      <c r="J31" s="13">
        <f t="shared" ref="J31:J35" si="5">J4-D4</f>
        <v>12170</v>
      </c>
      <c r="K31" s="13">
        <f t="shared" ref="K31:K35" si="6">K4-E4</f>
        <v>11914</v>
      </c>
      <c r="L31" s="13">
        <f t="shared" ref="L31:L35" si="7">L4-F4</f>
        <v>11132</v>
      </c>
      <c r="M31" s="13">
        <f t="shared" ref="M31:M35" si="8">M4-G4</f>
        <v>11139</v>
      </c>
      <c r="N31" s="13">
        <f t="shared" ref="N31:N35" si="9">N4-H4</f>
        <v>11634</v>
      </c>
    </row>
    <row r="32" spans="1:24" x14ac:dyDescent="0.2">
      <c r="B32" s="2" t="s">
        <v>2</v>
      </c>
      <c r="C32" s="3"/>
      <c r="D32" s="3"/>
      <c r="E32" s="3"/>
      <c r="F32" s="3"/>
      <c r="G32" s="3"/>
      <c r="H32" s="3"/>
      <c r="I32" s="13">
        <f t="shared" si="4"/>
        <v>11467</v>
      </c>
      <c r="J32" s="13">
        <f t="shared" si="5"/>
        <v>10226</v>
      </c>
      <c r="K32" s="13">
        <f t="shared" si="6"/>
        <v>9547</v>
      </c>
      <c r="L32" s="13">
        <f t="shared" si="7"/>
        <v>10380</v>
      </c>
      <c r="M32" s="13">
        <f t="shared" si="8"/>
        <v>9990</v>
      </c>
      <c r="N32" s="13">
        <f t="shared" si="9"/>
        <v>10299</v>
      </c>
    </row>
    <row r="33" spans="2:18" x14ac:dyDescent="0.2">
      <c r="B33" s="2" t="s">
        <v>3</v>
      </c>
      <c r="C33" s="3"/>
      <c r="D33" s="3"/>
      <c r="E33" s="3"/>
      <c r="F33" s="3"/>
      <c r="G33" s="3"/>
      <c r="H33" s="3"/>
      <c r="I33" s="3">
        <f t="shared" si="4"/>
        <v>10263</v>
      </c>
      <c r="J33" s="3">
        <f t="shared" si="5"/>
        <v>10497</v>
      </c>
      <c r="K33" s="3">
        <f t="shared" si="6"/>
        <v>9951</v>
      </c>
      <c r="L33" s="3">
        <f t="shared" si="7"/>
        <v>9724</v>
      </c>
      <c r="M33" s="3">
        <f t="shared" si="8"/>
        <v>9812</v>
      </c>
      <c r="N33" s="3">
        <f t="shared" si="9"/>
        <v>9432</v>
      </c>
    </row>
    <row r="34" spans="2:18" x14ac:dyDescent="0.2">
      <c r="B34" s="2" t="s">
        <v>4</v>
      </c>
      <c r="C34" s="3"/>
      <c r="D34" s="3"/>
      <c r="E34" s="3"/>
      <c r="F34" s="3"/>
      <c r="G34" s="3"/>
      <c r="H34" s="3"/>
      <c r="I34" s="3">
        <f t="shared" si="4"/>
        <v>11544</v>
      </c>
      <c r="J34" s="3">
        <f t="shared" si="5"/>
        <v>11766</v>
      </c>
      <c r="K34" s="3">
        <f t="shared" si="6"/>
        <v>11468</v>
      </c>
      <c r="L34" s="3">
        <f t="shared" si="7"/>
        <v>10947</v>
      </c>
      <c r="M34" s="3">
        <f t="shared" si="8"/>
        <v>10475</v>
      </c>
      <c r="N34" s="3">
        <f t="shared" si="9"/>
        <v>11110</v>
      </c>
    </row>
    <row r="35" spans="2:18" x14ac:dyDescent="0.2">
      <c r="B35" s="2" t="s">
        <v>5</v>
      </c>
      <c r="C35" s="3"/>
      <c r="D35" s="3"/>
      <c r="E35" s="3"/>
      <c r="F35" s="3"/>
      <c r="G35" s="3"/>
      <c r="H35" s="3"/>
      <c r="I35" s="3">
        <f t="shared" si="4"/>
        <v>10216</v>
      </c>
      <c r="J35" s="3">
        <f t="shared" si="5"/>
        <v>9741</v>
      </c>
      <c r="K35" s="3">
        <f t="shared" si="6"/>
        <v>9819</v>
      </c>
      <c r="L35" s="3">
        <f t="shared" si="7"/>
        <v>9573</v>
      </c>
      <c r="M35" s="3">
        <f t="shared" si="8"/>
        <v>9492</v>
      </c>
      <c r="N35" s="3">
        <f t="shared" si="9"/>
        <v>9096</v>
      </c>
    </row>
    <row r="36" spans="2:18" x14ac:dyDescent="0.2">
      <c r="B36" s="2" t="s">
        <v>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8" x14ac:dyDescent="0.2">
      <c r="B37" s="2" t="s">
        <v>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40" spans="2:18" ht="28" x14ac:dyDescent="0.2">
      <c r="B40" s="11" t="s">
        <v>24</v>
      </c>
    </row>
    <row r="41" spans="2:18" ht="32" x14ac:dyDescent="0.2">
      <c r="B41" s="1" t="s">
        <v>25</v>
      </c>
      <c r="C41" s="3"/>
      <c r="D41" s="3"/>
      <c r="E41" s="3"/>
      <c r="F41" s="3"/>
      <c r="G41" s="3"/>
      <c r="H41" s="3"/>
      <c r="I41" s="13">
        <f>(I30 - 4737.9)/2610.1</f>
        <v>3.8347572889927592</v>
      </c>
      <c r="J41" s="13">
        <f t="shared" ref="J41:N41" si="10">(J30 - 4737.9)/2610.1</f>
        <v>4.5830044825868743</v>
      </c>
      <c r="K41" s="13">
        <f t="shared" si="10"/>
        <v>4.3190299222252024</v>
      </c>
      <c r="L41" s="13">
        <f t="shared" si="10"/>
        <v>3.8416535764913227</v>
      </c>
      <c r="M41" s="13">
        <f t="shared" si="10"/>
        <v>4.0458603118654457</v>
      </c>
      <c r="N41" s="13">
        <f t="shared" si="10"/>
        <v>3.5949197348760586</v>
      </c>
      <c r="R41" t="s">
        <v>21</v>
      </c>
    </row>
    <row r="42" spans="2:18" x14ac:dyDescent="0.2">
      <c r="B42" s="2" t="s">
        <v>1</v>
      </c>
      <c r="C42" s="3"/>
      <c r="D42" s="3"/>
      <c r="E42" s="3"/>
      <c r="F42" s="3"/>
      <c r="G42" s="3"/>
      <c r="H42" s="3"/>
      <c r="I42" s="13">
        <f t="shared" ref="I42:N42" si="11">(I31 - 4737.9)/2610.1</f>
        <v>2.8416918891996477</v>
      </c>
      <c r="J42" s="13">
        <f t="shared" si="11"/>
        <v>2.8474387954484506</v>
      </c>
      <c r="K42" s="13">
        <f t="shared" si="11"/>
        <v>2.7493582621355506</v>
      </c>
      <c r="L42" s="13">
        <f t="shared" si="11"/>
        <v>2.4497528830313016</v>
      </c>
      <c r="M42" s="13">
        <f t="shared" si="11"/>
        <v>2.4524347726140765</v>
      </c>
      <c r="N42" s="13">
        <f t="shared" si="11"/>
        <v>2.6420826788245662</v>
      </c>
      <c r="R42" t="s">
        <v>22</v>
      </c>
    </row>
    <row r="43" spans="2:18" x14ac:dyDescent="0.2">
      <c r="B43" s="2" t="s">
        <v>2</v>
      </c>
      <c r="C43" s="3"/>
      <c r="D43" s="3"/>
      <c r="E43" s="3"/>
      <c r="F43" s="3"/>
      <c r="G43" s="3"/>
      <c r="H43" s="3"/>
      <c r="I43" s="13">
        <f t="shared" ref="I43:N43" si="12">(I32 - 4737.9)/2610.1</f>
        <v>2.5781004559212293</v>
      </c>
      <c r="J43" s="13">
        <f t="shared" si="12"/>
        <v>2.102639745603617</v>
      </c>
      <c r="K43" s="13">
        <f t="shared" si="12"/>
        <v>1.8424964560744801</v>
      </c>
      <c r="L43" s="13">
        <f t="shared" si="12"/>
        <v>2.1616413164246584</v>
      </c>
      <c r="M43" s="13">
        <f t="shared" si="12"/>
        <v>2.0122217539557874</v>
      </c>
      <c r="N43" s="13">
        <f t="shared" si="12"/>
        <v>2.1306080226811237</v>
      </c>
    </row>
    <row r="44" spans="2:18" x14ac:dyDescent="0.2">
      <c r="B44" s="2" t="s">
        <v>3</v>
      </c>
      <c r="C44" s="3"/>
      <c r="D44" s="3"/>
      <c r="E44" s="3"/>
      <c r="F44" s="3"/>
      <c r="G44" s="3"/>
      <c r="H44" s="3"/>
      <c r="I44" s="3">
        <f t="shared" ref="I44:N44" si="13">(I33 - 4737.9)/2610.1</f>
        <v>2.1168154476839969</v>
      </c>
      <c r="J44" s="3">
        <f t="shared" si="13"/>
        <v>2.2064671851653195</v>
      </c>
      <c r="K44" s="3">
        <f t="shared" si="13"/>
        <v>1.9972797977089003</v>
      </c>
      <c r="L44" s="3">
        <f t="shared" si="13"/>
        <v>1.9103099498103524</v>
      </c>
      <c r="M44" s="3">
        <f t="shared" si="13"/>
        <v>1.9440251331366616</v>
      </c>
      <c r="N44" s="3">
        <f t="shared" si="13"/>
        <v>1.7984368415003258</v>
      </c>
    </row>
    <row r="45" spans="2:18" x14ac:dyDescent="0.2">
      <c r="B45" s="2" t="s">
        <v>4</v>
      </c>
      <c r="C45" s="3"/>
      <c r="D45" s="3"/>
      <c r="E45" s="3"/>
      <c r="F45" s="3"/>
      <c r="G45" s="3"/>
      <c r="H45" s="3"/>
      <c r="I45" s="3">
        <f t="shared" ref="I45:N45" si="14">(I34 - 4737.9)/2610.1</f>
        <v>2.60760124133175</v>
      </c>
      <c r="J45" s="3">
        <f t="shared" si="14"/>
        <v>2.6926554538140302</v>
      </c>
      <c r="K45" s="3">
        <f t="shared" si="14"/>
        <v>2.5784835830044828</v>
      </c>
      <c r="L45" s="3">
        <f t="shared" si="14"/>
        <v>2.3788743726294013</v>
      </c>
      <c r="M45" s="3">
        <f t="shared" si="14"/>
        <v>2.1980383893337421</v>
      </c>
      <c r="N45" s="3">
        <f t="shared" si="14"/>
        <v>2.4413240871997242</v>
      </c>
    </row>
    <row r="46" spans="2:18" x14ac:dyDescent="0.2">
      <c r="B46" s="2" t="s">
        <v>5</v>
      </c>
      <c r="C46" s="3"/>
      <c r="D46" s="3"/>
      <c r="E46" s="3"/>
      <c r="F46" s="3"/>
      <c r="G46" s="3"/>
      <c r="H46" s="3"/>
      <c r="I46" s="3">
        <f t="shared" ref="I46:N46" si="15">(I35 - 4737.9)/2610.1</f>
        <v>2.0988084747710816</v>
      </c>
      <c r="J46" s="3">
        <f t="shared" si="15"/>
        <v>1.9168231102256621</v>
      </c>
      <c r="K46" s="3">
        <f t="shared" si="15"/>
        <v>1.9467070227194363</v>
      </c>
      <c r="L46" s="3">
        <f t="shared" si="15"/>
        <v>1.8524577602390715</v>
      </c>
      <c r="M46" s="3">
        <f t="shared" si="15"/>
        <v>1.8214244664955368</v>
      </c>
      <c r="N46" s="3">
        <f t="shared" si="15"/>
        <v>1.6697061415271448</v>
      </c>
    </row>
    <row r="47" spans="2:18" x14ac:dyDescent="0.2">
      <c r="B47" s="2" t="s">
        <v>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8" x14ac:dyDescent="0.2">
      <c r="B48" s="2" t="s">
        <v>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50" spans="1:35" x14ac:dyDescent="0.2">
      <c r="R50" s="5" t="s">
        <v>27</v>
      </c>
    </row>
    <row r="51" spans="1:35" x14ac:dyDescent="0.2">
      <c r="B51" s="14"/>
      <c r="R51" t="s">
        <v>15</v>
      </c>
      <c r="S51">
        <v>0</v>
      </c>
      <c r="T51" t="s">
        <v>28</v>
      </c>
      <c r="U51" t="s">
        <v>10</v>
      </c>
      <c r="W51" s="14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 spans="1:35" ht="48" x14ac:dyDescent="0.2">
      <c r="A52" s="18" t="s">
        <v>15</v>
      </c>
      <c r="B52" s="1" t="s">
        <v>26</v>
      </c>
      <c r="C52" s="3"/>
      <c r="D52" s="3"/>
      <c r="E52" s="3"/>
      <c r="F52" s="3"/>
      <c r="G52" s="3"/>
      <c r="H52" s="3"/>
      <c r="I52" s="13">
        <f>(I41/25)*696</f>
        <v>106.75964292555842</v>
      </c>
      <c r="J52" s="13">
        <f t="shared" ref="J52:N52" si="16">(J41/25)*696</f>
        <v>127.59084479521857</v>
      </c>
      <c r="K52" s="13">
        <f t="shared" si="16"/>
        <v>120.24179303474963</v>
      </c>
      <c r="L52" s="13">
        <f t="shared" si="16"/>
        <v>106.95163556951842</v>
      </c>
      <c r="M52" s="13">
        <f t="shared" si="16"/>
        <v>112.636751082334</v>
      </c>
      <c r="N52" s="13">
        <f t="shared" si="16"/>
        <v>100.08256541894947</v>
      </c>
      <c r="S52">
        <v>696</v>
      </c>
      <c r="T52">
        <v>698</v>
      </c>
      <c r="U52">
        <v>684</v>
      </c>
      <c r="W52" s="14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 spans="1:35" x14ac:dyDescent="0.2">
      <c r="A53" s="18"/>
      <c r="B53" s="2" t="s">
        <v>1</v>
      </c>
      <c r="C53" s="3"/>
      <c r="D53" s="3"/>
      <c r="E53" s="3"/>
      <c r="F53" s="3"/>
      <c r="G53" s="3"/>
      <c r="H53" s="3"/>
      <c r="I53" s="13">
        <f>(I42/25)*698</f>
        <v>79.340037546454155</v>
      </c>
      <c r="J53" s="13">
        <f t="shared" ref="J53:N53" si="17">(J42/25)*698</f>
        <v>79.500491168920746</v>
      </c>
      <c r="K53" s="13">
        <f t="shared" si="17"/>
        <v>76.762082678824569</v>
      </c>
      <c r="L53" s="13">
        <f t="shared" si="17"/>
        <v>68.397100494233939</v>
      </c>
      <c r="M53" s="13">
        <f t="shared" si="17"/>
        <v>68.471978851385018</v>
      </c>
      <c r="N53" s="13">
        <f t="shared" si="17"/>
        <v>73.766948392781885</v>
      </c>
      <c r="W53" s="14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 spans="1:35" x14ac:dyDescent="0.2">
      <c r="A54" s="18"/>
      <c r="B54" s="2" t="s">
        <v>2</v>
      </c>
      <c r="C54" s="3"/>
      <c r="D54" s="3"/>
      <c r="E54" s="3"/>
      <c r="F54" s="3"/>
      <c r="G54" s="3"/>
      <c r="H54" s="3"/>
      <c r="I54" s="13">
        <f>(I43/25)*684</f>
        <v>70.536828474004835</v>
      </c>
      <c r="J54" s="13">
        <f t="shared" ref="J54:N54" si="18">(J43/25)*684</f>
        <v>57.528223439714957</v>
      </c>
      <c r="K54" s="13">
        <f t="shared" si="18"/>
        <v>50.410703038197774</v>
      </c>
      <c r="L54" s="13">
        <f t="shared" si="18"/>
        <v>59.142506417378648</v>
      </c>
      <c r="M54" s="13">
        <f t="shared" si="18"/>
        <v>55.054387188230343</v>
      </c>
      <c r="N54" s="13">
        <f t="shared" si="18"/>
        <v>58.293435500555546</v>
      </c>
      <c r="R54" t="s">
        <v>16</v>
      </c>
      <c r="S54">
        <v>0</v>
      </c>
      <c r="T54" t="s">
        <v>28</v>
      </c>
      <c r="U54" t="s">
        <v>10</v>
      </c>
      <c r="W54" s="14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 spans="1:35" x14ac:dyDescent="0.2">
      <c r="A55" s="19" t="s">
        <v>16</v>
      </c>
      <c r="B55" s="2" t="s">
        <v>3</v>
      </c>
      <c r="C55" s="3"/>
      <c r="D55" s="3"/>
      <c r="E55" s="3"/>
      <c r="F55" s="3"/>
      <c r="G55" s="3"/>
      <c r="H55" s="3"/>
      <c r="I55" s="15">
        <f>(I44/25)*682</f>
        <v>57.746725412819437</v>
      </c>
      <c r="J55" s="15">
        <f t="shared" ref="J55:N55" si="19">(J44/25)*682</f>
        <v>60.192424811309913</v>
      </c>
      <c r="K55" s="15">
        <f t="shared" si="19"/>
        <v>54.485792881498803</v>
      </c>
      <c r="L55" s="15">
        <f t="shared" si="19"/>
        <v>52.11325543082642</v>
      </c>
      <c r="M55" s="15">
        <f t="shared" si="19"/>
        <v>53.03300563196813</v>
      </c>
      <c r="N55" s="15">
        <f t="shared" si="19"/>
        <v>49.061357036128889</v>
      </c>
      <c r="S55">
        <v>682</v>
      </c>
      <c r="T55">
        <v>790</v>
      </c>
      <c r="U55">
        <v>828</v>
      </c>
      <c r="W55" s="14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 spans="1:35" x14ac:dyDescent="0.2">
      <c r="A56" s="19"/>
      <c r="B56" s="2" t="s">
        <v>4</v>
      </c>
      <c r="C56" s="3"/>
      <c r="D56" s="3"/>
      <c r="E56" s="3"/>
      <c r="F56" s="3"/>
      <c r="G56" s="3"/>
      <c r="H56" s="3"/>
      <c r="I56" s="15">
        <f>(I45/25)*790</f>
        <v>82.400199226083302</v>
      </c>
      <c r="J56" s="15">
        <f t="shared" ref="J56:N56" si="20">(J45/25)*790</f>
        <v>85.08791234052336</v>
      </c>
      <c r="K56" s="15">
        <f t="shared" si="20"/>
        <v>81.480081222941649</v>
      </c>
      <c r="L56" s="15">
        <f t="shared" si="20"/>
        <v>75.172430175089076</v>
      </c>
      <c r="M56" s="15">
        <f t="shared" si="20"/>
        <v>69.458013102946254</v>
      </c>
      <c r="N56" s="15">
        <f t="shared" si="20"/>
        <v>77.145841155511278</v>
      </c>
      <c r="W56" s="14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 spans="1:35" x14ac:dyDescent="0.2">
      <c r="A57" s="19"/>
      <c r="B57" s="2" t="s">
        <v>5</v>
      </c>
      <c r="C57" s="3"/>
      <c r="D57" s="3"/>
      <c r="E57" s="3"/>
      <c r="F57" s="3"/>
      <c r="G57" s="3"/>
      <c r="H57" s="3"/>
      <c r="I57" s="15">
        <f>(I46/25)*828</f>
        <v>69.512536684418222</v>
      </c>
      <c r="J57" s="15">
        <f t="shared" ref="J57:N57" si="21">(J46/25)*828</f>
        <v>63.485181410673931</v>
      </c>
      <c r="K57" s="15">
        <f t="shared" si="21"/>
        <v>64.474936592467728</v>
      </c>
      <c r="L57" s="15">
        <f t="shared" si="21"/>
        <v>61.353401019118046</v>
      </c>
      <c r="M57" s="15">
        <f t="shared" si="21"/>
        <v>60.325578330332185</v>
      </c>
      <c r="N57" s="15">
        <f t="shared" si="21"/>
        <v>55.300667407379038</v>
      </c>
      <c r="W57" s="14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 spans="1:35" x14ac:dyDescent="0.2">
      <c r="B58" s="2" t="s">
        <v>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W58" s="14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 spans="1:35" x14ac:dyDescent="0.2">
      <c r="B59" s="2" t="s">
        <v>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1" spans="1:35" x14ac:dyDescent="0.2">
      <c r="O61" t="s">
        <v>29</v>
      </c>
      <c r="P61" t="s">
        <v>31</v>
      </c>
      <c r="Q61" s="21"/>
      <c r="R61" s="21"/>
    </row>
    <row r="62" spans="1:35" ht="32" x14ac:dyDescent="0.2">
      <c r="B62" s="1" t="s">
        <v>30</v>
      </c>
      <c r="C62" s="3"/>
      <c r="D62" s="3"/>
      <c r="E62" s="3"/>
      <c r="F62" s="3"/>
      <c r="G62" s="3"/>
      <c r="H62" s="9"/>
      <c r="I62" s="13"/>
      <c r="J62" s="13"/>
      <c r="K62" s="13"/>
      <c r="L62" s="13"/>
      <c r="M62" s="13"/>
      <c r="N62" s="13"/>
      <c r="O62" s="17"/>
      <c r="P62" s="17"/>
      <c r="Q62" s="21"/>
      <c r="R62" s="21"/>
    </row>
    <row r="63" spans="1:35" x14ac:dyDescent="0.2">
      <c r="B63" s="2" t="s">
        <v>1</v>
      </c>
      <c r="C63" s="3"/>
      <c r="D63" s="3"/>
      <c r="E63" s="3"/>
      <c r="F63" s="3"/>
      <c r="G63" s="3"/>
      <c r="H63" s="9"/>
      <c r="I63" s="13"/>
      <c r="J63" s="13"/>
      <c r="K63" s="13"/>
      <c r="L63" s="13"/>
      <c r="M63" s="13"/>
      <c r="N63" s="13"/>
      <c r="O63" s="17"/>
      <c r="P63" s="17"/>
      <c r="Q63" s="21"/>
      <c r="R63" s="21"/>
    </row>
    <row r="64" spans="1:35" x14ac:dyDescent="0.2">
      <c r="B64" s="2" t="s">
        <v>2</v>
      </c>
      <c r="C64" s="3"/>
      <c r="D64" s="3"/>
      <c r="E64" s="3"/>
      <c r="F64" s="3"/>
      <c r="G64" s="3"/>
      <c r="H64" s="9"/>
      <c r="I64" s="13"/>
      <c r="J64" s="13"/>
      <c r="K64" s="13"/>
      <c r="L64" s="13"/>
      <c r="M64" s="13"/>
      <c r="N64" s="13"/>
      <c r="O64" s="17"/>
      <c r="P64" s="17"/>
      <c r="Q64" s="21"/>
      <c r="R64" s="21"/>
    </row>
    <row r="65" spans="2:17" x14ac:dyDescent="0.2">
      <c r="B65" s="2" t="s">
        <v>3</v>
      </c>
      <c r="C65" s="3"/>
      <c r="D65" s="3"/>
      <c r="E65" s="3"/>
      <c r="F65" s="3"/>
      <c r="G65" s="3"/>
      <c r="H65" s="9" t="s">
        <v>8</v>
      </c>
      <c r="I65" s="15">
        <f t="shared" ref="I65:N65" si="22">I55/100</f>
        <v>0.57746725412819433</v>
      </c>
      <c r="J65" s="15">
        <f t="shared" si="22"/>
        <v>0.60192424811309908</v>
      </c>
      <c r="K65" s="15">
        <f t="shared" si="22"/>
        <v>0.54485792881498807</v>
      </c>
      <c r="L65" s="15">
        <f t="shared" si="22"/>
        <v>0.52113255430826422</v>
      </c>
      <c r="M65" s="15">
        <f t="shared" si="22"/>
        <v>0.53033005631968133</v>
      </c>
      <c r="N65" s="15">
        <f t="shared" si="22"/>
        <v>0.49061357036128889</v>
      </c>
      <c r="O65" s="17">
        <f>AVERAGE(I65:N65)</f>
        <v>0.54438760200758607</v>
      </c>
      <c r="P65" s="17">
        <f t="shared" ref="P63:P67" si="23">STDEVA(I65:N65)</f>
        <v>4.0087425835439977E-2</v>
      </c>
    </row>
    <row r="66" spans="2:17" x14ac:dyDescent="0.2">
      <c r="B66" s="2" t="s">
        <v>4</v>
      </c>
      <c r="C66" s="3"/>
      <c r="D66" s="3"/>
      <c r="E66" s="3"/>
      <c r="F66" s="3"/>
      <c r="G66" s="3"/>
      <c r="H66" s="9" t="s">
        <v>9</v>
      </c>
      <c r="I66" s="15">
        <f t="shared" ref="I66:N66" si="24">I56/100</f>
        <v>0.82400199226083304</v>
      </c>
      <c r="J66" s="15">
        <f t="shared" si="24"/>
        <v>0.85087912340523364</v>
      </c>
      <c r="K66" s="15">
        <f t="shared" si="24"/>
        <v>0.81480081222941647</v>
      </c>
      <c r="L66" s="15">
        <f t="shared" si="24"/>
        <v>0.75172430175089078</v>
      </c>
      <c r="M66" s="15">
        <f t="shared" si="24"/>
        <v>0.69458013102946259</v>
      </c>
      <c r="N66" s="15">
        <f t="shared" si="24"/>
        <v>0.77145841155511274</v>
      </c>
      <c r="O66" s="17">
        <f t="shared" ref="O63:O67" si="25">AVERAGE(I66:N66)</f>
        <v>0.78457412870515819</v>
      </c>
      <c r="P66" s="17">
        <f t="shared" si="23"/>
        <v>5.6946666150980305E-2</v>
      </c>
    </row>
    <row r="67" spans="2:17" x14ac:dyDescent="0.2">
      <c r="B67" s="2" t="s">
        <v>5</v>
      </c>
      <c r="C67" s="3"/>
      <c r="D67" s="3"/>
      <c r="E67" s="3"/>
      <c r="F67" s="3"/>
      <c r="G67" s="3"/>
      <c r="H67" s="9" t="s">
        <v>10</v>
      </c>
      <c r="I67" s="15">
        <f t="shared" ref="I67:N67" si="26">I57/100</f>
        <v>0.69512536684418225</v>
      </c>
      <c r="J67" s="15">
        <f t="shared" si="26"/>
        <v>0.6348518141067393</v>
      </c>
      <c r="K67" s="15">
        <f t="shared" si="26"/>
        <v>0.64474936592467724</v>
      </c>
      <c r="L67" s="15">
        <f t="shared" si="26"/>
        <v>0.61353401019118048</v>
      </c>
      <c r="M67" s="15">
        <f t="shared" si="26"/>
        <v>0.60325578330332186</v>
      </c>
      <c r="N67" s="15">
        <f t="shared" si="26"/>
        <v>0.55300667407379034</v>
      </c>
      <c r="O67" s="17">
        <f t="shared" si="25"/>
        <v>0.62408716907398187</v>
      </c>
      <c r="P67" s="17">
        <f t="shared" si="23"/>
        <v>4.7301124867851117E-2</v>
      </c>
    </row>
    <row r="68" spans="2:17" x14ac:dyDescent="0.2">
      <c r="B68" s="2" t="s">
        <v>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2:17" x14ac:dyDescent="0.2">
      <c r="B69" s="2" t="s">
        <v>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1" spans="2:17" x14ac:dyDescent="0.2">
      <c r="Q71" s="20"/>
    </row>
    <row r="72" spans="2:17" x14ac:dyDescent="0.2">
      <c r="F72" t="s">
        <v>29</v>
      </c>
      <c r="G72" t="s">
        <v>31</v>
      </c>
      <c r="Q72" s="20"/>
    </row>
    <row r="73" spans="2:17" x14ac:dyDescent="0.2">
      <c r="E73" s="9" t="s">
        <v>8</v>
      </c>
      <c r="F73">
        <v>0.54438760200758596</v>
      </c>
      <c r="G73">
        <v>4.0087425835439977E-2</v>
      </c>
      <c r="Q73" s="20"/>
    </row>
    <row r="74" spans="2:17" x14ac:dyDescent="0.2">
      <c r="E74" s="9" t="s">
        <v>9</v>
      </c>
      <c r="F74">
        <v>0.78457412870515819</v>
      </c>
      <c r="G74">
        <v>5.6946666150980305E-2</v>
      </c>
      <c r="Q74" s="21"/>
    </row>
    <row r="75" spans="2:17" x14ac:dyDescent="0.2">
      <c r="E75" s="9" t="s">
        <v>10</v>
      </c>
      <c r="F75">
        <v>0.62408716907398187</v>
      </c>
      <c r="G75">
        <v>4.7301124867851117E-2</v>
      </c>
    </row>
    <row r="80" spans="2:17" x14ac:dyDescent="0.2">
      <c r="E80">
        <v>0.57746725412819433</v>
      </c>
      <c r="F80">
        <v>0.82400199226083304</v>
      </c>
      <c r="G80">
        <v>0.69512536684418225</v>
      </c>
    </row>
    <row r="81" spans="5:7" x14ac:dyDescent="0.2">
      <c r="E81">
        <v>0.60192424811309908</v>
      </c>
      <c r="F81">
        <v>0.85087912340523364</v>
      </c>
      <c r="G81">
        <v>0.6348518141067393</v>
      </c>
    </row>
    <row r="82" spans="5:7" x14ac:dyDescent="0.2">
      <c r="E82">
        <v>0.54485792881498807</v>
      </c>
      <c r="F82">
        <v>0.81480081222941647</v>
      </c>
      <c r="G82">
        <v>0.64474936592467724</v>
      </c>
    </row>
    <row r="83" spans="5:7" x14ac:dyDescent="0.2">
      <c r="E83">
        <v>0.52113255430826422</v>
      </c>
      <c r="F83">
        <v>0.75172430175089078</v>
      </c>
      <c r="G83">
        <v>0.61353401019118048</v>
      </c>
    </row>
    <row r="84" spans="5:7" x14ac:dyDescent="0.2">
      <c r="E84">
        <v>0.53033005631968133</v>
      </c>
      <c r="F84">
        <v>0.69458013102946259</v>
      </c>
      <c r="G84">
        <v>0.60325578330332186</v>
      </c>
    </row>
    <row r="85" spans="5:7" x14ac:dyDescent="0.2">
      <c r="E85">
        <v>0.49061357036128889</v>
      </c>
      <c r="F85">
        <v>0.77145841155511274</v>
      </c>
      <c r="G85">
        <v>0.55300667407379034</v>
      </c>
    </row>
  </sheetData>
  <mergeCells count="4">
    <mergeCell ref="A13:A15"/>
    <mergeCell ref="A16:A18"/>
    <mergeCell ref="A52:A54"/>
    <mergeCell ref="A55:A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Kaluwella Mudalige, Asha (MU-Student)</dc:creator>
  <cp:lastModifiedBy>Schenck, Craig</cp:lastModifiedBy>
  <dcterms:created xsi:type="dcterms:W3CDTF">2026-06-09T16:10:39Z</dcterms:created>
  <dcterms:modified xsi:type="dcterms:W3CDTF">2026-09-25T20:01:51Z</dcterms:modified>
</cp:coreProperties>
</file>